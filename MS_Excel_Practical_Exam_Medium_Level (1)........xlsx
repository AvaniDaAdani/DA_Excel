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F507E61-92DA-4B7F-BA23-89622ED8ECE6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Instructions" sheetId="1" r:id="rId1"/>
    <sheet name="Sales_Data" sheetId="2" r:id="rId2"/>
    <sheet name="Product_Master" sheetId="3" r:id="rId3"/>
    <sheet name="Sheet1" sheetId="7" r:id="rId4"/>
    <sheet name="Sheet2" sheetId="8" r:id="rId5"/>
    <sheet name="Student_Marks" sheetId="4" r:id="rId6"/>
    <sheet name="Questions" sheetId="5" r:id="rId7"/>
    <sheet name="Answers" sheetId="6" r:id="rId8"/>
  </sheets>
  <calcPr calcId="191029"/>
  <pivotCaches>
    <pivotCache cacheId="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7" i="6" l="1"/>
  <c r="D118" i="6"/>
  <c r="D119" i="6"/>
  <c r="D120" i="6"/>
  <c r="D116" i="6"/>
  <c r="E112" i="6"/>
  <c r="B55" i="6"/>
  <c r="I48" i="6"/>
  <c r="I49" i="6"/>
  <c r="I50" i="6"/>
  <c r="I51" i="6"/>
  <c r="I47" i="6"/>
  <c r="C42" i="6"/>
  <c r="B42" i="6"/>
  <c r="B31" i="6"/>
  <c r="B27" i="6"/>
  <c r="K8" i="2"/>
  <c r="B19" i="6"/>
  <c r="B20" i="6"/>
  <c r="B21" i="6"/>
  <c r="B22" i="6"/>
  <c r="B18" i="6"/>
  <c r="B17" i="6"/>
  <c r="K3" i="2"/>
  <c r="K4" i="2"/>
  <c r="K5" i="2"/>
  <c r="K6" i="2"/>
  <c r="K7" i="2"/>
  <c r="K2" i="2"/>
  <c r="J7" i="2"/>
  <c r="J6" i="2"/>
  <c r="J5" i="2"/>
  <c r="J3" i="2"/>
  <c r="J4" i="2"/>
  <c r="J2" i="2"/>
  <c r="B12" i="6"/>
  <c r="B4" i="6"/>
  <c r="B5" i="6"/>
  <c r="B6" i="6"/>
  <c r="B7" i="6"/>
  <c r="B8" i="6"/>
  <c r="B3" i="6"/>
  <c r="I3" i="2"/>
  <c r="I4" i="2"/>
  <c r="I5" i="2"/>
  <c r="I6" i="2"/>
  <c r="I7" i="2"/>
  <c r="I2" i="2"/>
  <c r="J32" i="5"/>
</calcChain>
</file>

<file path=xl/sharedStrings.xml><?xml version="1.0" encoding="utf-8"?>
<sst xmlns="http://schemas.openxmlformats.org/spreadsheetml/2006/main" count="177" uniqueCount="104">
  <si>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</si>
  <si>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</si>
  <si>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</si>
  <si>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</si>
  <si>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</si>
  <si>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</si>
  <si>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</si>
  <si>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</si>
  <si>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</si>
  <si>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</si>
  <si>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</si>
  <si>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</si>
  <si>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</si>
  <si>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</si>
  <si>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</si>
  <si>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</si>
  <si>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</si>
  <si>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</si>
  <si>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</si>
  <si>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</si>
  <si>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</si>
  <si>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</si>
  <si>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</si>
  <si>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</si>
  <si>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</si>
  <si>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</si>
  <si>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</si>
  <si>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</si>
  <si>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</si>
  <si>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</si>
  <si>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</si>
  <si>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</si>
  <si>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</si>
  <si>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</si>
  <si>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</si>
  <si>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</si>
  <si>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</si>
  <si>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</si>
  <si>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</si>
  <si>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</si>
  <si>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</si>
  <si>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</si>
  <si>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</si>
  <si>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</si>
  <si>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</si>
  <si>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</si>
  <si>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</si>
  <si>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</si>
  <si>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</si>
  <si>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</si>
  <si>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</si>
  <si>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</si>
  <si>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</si>
  <si>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</si>
  <si>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</si>
  <si>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</si>
  <si>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</si>
  <si>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</si>
  <si>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</si>
  <si>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</si>
  <si>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</si>
  <si>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</si>
  <si>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</si>
  <si>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</si>
  <si>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</si>
  <si>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</si>
  <si>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</si>
  <si>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</si>
  <si>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</si>
  <si>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</si>
  <si>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</si>
  <si>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</si>
  <si>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</si>
  <si>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Ans-1</t>
  </si>
  <si>
    <t>Total Sales</t>
  </si>
  <si>
    <t>Ans-2</t>
  </si>
  <si>
    <t xml:space="preserve">GST </t>
  </si>
  <si>
    <t>Ans-3</t>
  </si>
  <si>
    <t>GST</t>
  </si>
  <si>
    <t>Final Amount Payable</t>
  </si>
  <si>
    <t>Final Amount Payable (Total Sales + GST)</t>
  </si>
  <si>
    <t>Ans-4</t>
  </si>
  <si>
    <t>Grand Total :</t>
  </si>
  <si>
    <t>Grand Total of Final Amount Payable</t>
  </si>
  <si>
    <t>Ans-5</t>
  </si>
  <si>
    <t>Ans-6</t>
  </si>
  <si>
    <t>Ans-7</t>
  </si>
  <si>
    <t>Min</t>
  </si>
  <si>
    <t>Max</t>
  </si>
  <si>
    <t>Ans-12</t>
  </si>
  <si>
    <t>Average</t>
  </si>
  <si>
    <t>Ans-13</t>
  </si>
  <si>
    <t>Row Labels</t>
  </si>
  <si>
    <t>Grand Total</t>
  </si>
  <si>
    <t>Sum of Unit_Price</t>
  </si>
  <si>
    <t>Ans-16</t>
  </si>
  <si>
    <t>Ans-17</t>
  </si>
  <si>
    <t>Ans-18</t>
  </si>
  <si>
    <t>Ans-19</t>
  </si>
  <si>
    <t>Ans-20</t>
  </si>
  <si>
    <t>Median</t>
  </si>
  <si>
    <t>Concat</t>
  </si>
  <si>
    <t>Ans-22</t>
  </si>
  <si>
    <t>Ans-21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</si>
</sst>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(1)........xlsx]Sheet1!PivotTable1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Sheet1!$A$2:$A$5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3"/>
                <c:pt idx="0">
                  <c:v>135000</c:v>
                </c:pt>
                <c:pt idx="1">
                  <c:v>30000</c:v>
                </c:pt>
                <c:pt idx="2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4-41E4-907F-B10FBDD68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91838015"/>
        <c:axId val="1191833023"/>
      </c:barChart>
      <c:catAx>
        <c:axId val="119183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833023"/>
        <c:crosses val="autoZero"/>
        <c:auto val="1"/>
        <c:lblAlgn val="ctr"/>
        <c:lblOffset val="100"/>
        <c:noMultiLvlLbl val="0"/>
      </c:catAx>
      <c:valAx>
        <c:axId val="119183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83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8236618150003979"/>
          <c:y val="0.21315822965977371"/>
          <c:w val="0.45278533365147539"/>
          <c:h val="0.42828019589581817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Student_Marks!$A$1:$B$6</c:f>
              <c:multiLvlStrCache>
                <c:ptCount val="6"/>
                <c:lvl>
                  <c:pt idx="0">
                    <c:v>Name</c:v>
                  </c:pt>
                  <c:pt idx="1">
                    <c:v>Rahul</c:v>
                  </c:pt>
                  <c:pt idx="2">
                    <c:v>Sneha</c:v>
                  </c:pt>
                  <c:pt idx="3">
                    <c:v>Arjun</c:v>
                  </c:pt>
                  <c:pt idx="4">
                    <c:v>Pooja</c:v>
                  </c:pt>
                  <c:pt idx="5">
                    <c:v>Vikas</c:v>
                  </c:pt>
                </c:lvl>
                <c:lvl>
                  <c:pt idx="0">
                    <c:v>Student_ID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</c:lvl>
              </c:multiLvlStrCache>
            </c:multiLvlStrRef>
          </c:cat>
          <c:val>
            <c:numRef>
              <c:f>Student_Marks!$C$1:$C$6</c:f>
              <c:numCache>
                <c:formatCode>General</c:formatCode>
                <c:ptCount val="6"/>
                <c:pt idx="0">
                  <c:v>0</c:v>
                </c:pt>
                <c:pt idx="1">
                  <c:v>78</c:v>
                </c:pt>
                <c:pt idx="2">
                  <c:v>88</c:v>
                </c:pt>
                <c:pt idx="3">
                  <c:v>65</c:v>
                </c:pt>
                <c:pt idx="4">
                  <c:v>92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E-402B-940D-9C89F364A20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Student_Marks!$A$1:$B$6</c:f>
              <c:multiLvlStrCache>
                <c:ptCount val="6"/>
                <c:lvl>
                  <c:pt idx="0">
                    <c:v>Name</c:v>
                  </c:pt>
                  <c:pt idx="1">
                    <c:v>Rahul</c:v>
                  </c:pt>
                  <c:pt idx="2">
                    <c:v>Sneha</c:v>
                  </c:pt>
                  <c:pt idx="3">
                    <c:v>Arjun</c:v>
                  </c:pt>
                  <c:pt idx="4">
                    <c:v>Pooja</c:v>
                  </c:pt>
                  <c:pt idx="5">
                    <c:v>Vikas</c:v>
                  </c:pt>
                </c:lvl>
                <c:lvl>
                  <c:pt idx="0">
                    <c:v>Student_ID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</c:lvl>
              </c:multiLvlStrCache>
            </c:multiLvlStrRef>
          </c:cat>
          <c:val>
            <c:numRef>
              <c:f>Student_Marks!$D$1:$D$6</c:f>
              <c:numCache>
                <c:formatCode>General</c:formatCode>
                <c:ptCount val="6"/>
                <c:pt idx="0">
                  <c:v>0</c:v>
                </c:pt>
                <c:pt idx="1">
                  <c:v>82</c:v>
                </c:pt>
                <c:pt idx="2">
                  <c:v>91</c:v>
                </c:pt>
                <c:pt idx="3">
                  <c:v>70</c:v>
                </c:pt>
                <c:pt idx="4">
                  <c:v>89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6E-402B-940D-9C89F364A20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Student_Marks!$A$1:$B$6</c:f>
              <c:multiLvlStrCache>
                <c:ptCount val="6"/>
                <c:lvl>
                  <c:pt idx="0">
                    <c:v>Name</c:v>
                  </c:pt>
                  <c:pt idx="1">
                    <c:v>Rahul</c:v>
                  </c:pt>
                  <c:pt idx="2">
                    <c:v>Sneha</c:v>
                  </c:pt>
                  <c:pt idx="3">
                    <c:v>Arjun</c:v>
                  </c:pt>
                  <c:pt idx="4">
                    <c:v>Pooja</c:v>
                  </c:pt>
                  <c:pt idx="5">
                    <c:v>Vikas</c:v>
                  </c:pt>
                </c:lvl>
                <c:lvl>
                  <c:pt idx="0">
                    <c:v>Student_ID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</c:lvl>
              </c:multiLvlStrCache>
            </c:multiLvlStrRef>
          </c:cat>
          <c:val>
            <c:numRef>
              <c:f>Student_Marks!$E$1:$E$6</c:f>
              <c:numCache>
                <c:formatCode>General</c:formatCode>
                <c:ptCount val="6"/>
                <c:pt idx="0">
                  <c:v>0</c:v>
                </c:pt>
                <c:pt idx="1">
                  <c:v>85</c:v>
                </c:pt>
                <c:pt idx="2">
                  <c:v>90</c:v>
                </c:pt>
                <c:pt idx="3">
                  <c:v>72</c:v>
                </c:pt>
                <c:pt idx="4">
                  <c:v>94</c:v>
                </c:pt>
                <c:pt idx="5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6E-402B-940D-9C89F364A202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Student_Marks!$A$1:$B$6</c:f>
              <c:multiLvlStrCache>
                <c:ptCount val="6"/>
                <c:lvl>
                  <c:pt idx="0">
                    <c:v>Name</c:v>
                  </c:pt>
                  <c:pt idx="1">
                    <c:v>Rahul</c:v>
                  </c:pt>
                  <c:pt idx="2">
                    <c:v>Sneha</c:v>
                  </c:pt>
                  <c:pt idx="3">
                    <c:v>Arjun</c:v>
                  </c:pt>
                  <c:pt idx="4">
                    <c:v>Pooja</c:v>
                  </c:pt>
                  <c:pt idx="5">
                    <c:v>Vikas</c:v>
                  </c:pt>
                </c:lvl>
                <c:lvl>
                  <c:pt idx="0">
                    <c:v>Student_ID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</c:lvl>
              </c:multiLvlStrCache>
            </c:multiLvlStrRef>
          </c:cat>
          <c:val>
            <c:numRef>
              <c:f>Student_Marks!$F$1:$F$6</c:f>
              <c:numCache>
                <c:formatCode>General</c:formatCode>
                <c:ptCount val="6"/>
                <c:pt idx="0">
                  <c:v>0</c:v>
                </c:pt>
                <c:pt idx="1">
                  <c:v>92</c:v>
                </c:pt>
                <c:pt idx="2">
                  <c:v>96</c:v>
                </c:pt>
                <c:pt idx="3">
                  <c:v>85</c:v>
                </c:pt>
                <c:pt idx="4">
                  <c:v>98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6E-402B-940D-9C89F364A202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Student_Marks!$A$1:$B$6</c:f>
              <c:multiLvlStrCache>
                <c:ptCount val="6"/>
                <c:lvl>
                  <c:pt idx="0">
                    <c:v>Name</c:v>
                  </c:pt>
                  <c:pt idx="1">
                    <c:v>Rahul</c:v>
                  </c:pt>
                  <c:pt idx="2">
                    <c:v>Sneha</c:v>
                  </c:pt>
                  <c:pt idx="3">
                    <c:v>Arjun</c:v>
                  </c:pt>
                  <c:pt idx="4">
                    <c:v>Pooja</c:v>
                  </c:pt>
                  <c:pt idx="5">
                    <c:v>Vikas</c:v>
                  </c:pt>
                </c:lvl>
                <c:lvl>
                  <c:pt idx="0">
                    <c:v>Student_ID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</c:lvl>
              </c:multiLvlStrCache>
            </c:multiLvlStrRef>
          </c:cat>
          <c:val>
            <c:numRef>
              <c:f>Student_Marks!$G$1:$G$6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606E-402B-940D-9C89F364A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48998431"/>
        <c:axId val="1249003007"/>
      </c:barChart>
      <c:catAx>
        <c:axId val="1248998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03007"/>
        <c:crosses val="autoZero"/>
        <c:auto val="1"/>
        <c:lblAlgn val="ctr"/>
        <c:lblOffset val="100"/>
        <c:noMultiLvlLbl val="0"/>
      </c:catAx>
      <c:valAx>
        <c:axId val="124900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99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1124639</xdr:colOff>
      <xdr:row>77</xdr:row>
      <xdr:rowOff>183615</xdr:rowOff>
    </xdr:from>
    <xdr:to>
      <xdr:col>3</xdr:col>
      <xdr:colOff>93644</xdr:colOff>
      <xdr:row>86</xdr:row>
      <xdr:rowOff>137540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360511-7832-42FA-8AFE-6D949518C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1113163</xdr:colOff>
      <xdr:row>90</xdr:row>
      <xdr:rowOff>91808</xdr:rowOff>
    </xdr:from>
    <xdr:to>
      <xdr:col>3</xdr:col>
      <xdr:colOff>91807</xdr:colOff>
      <xdr:row>101</xdr:row>
      <xdr:rowOff>57379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591E93-C364-4A5D-B6E8-DD7C2B661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15" refreshedDate="46210.634682175929" createdVersion="8" refreshedVersion="8" minRefreshableVersion="3" recordCount="6" xr:uid="{AC46B3AE-6E8B-468F-9D63-A8A1C205B038}">
  <cacheSource type="worksheet">
    <worksheetSource ref="A1:G7" sheet="Sales_Data"/>
  </cacheSource>
  <cacheFields count="7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4">
        <s v="Amit"/>
        <s v="Riya"/>
        <s v="Kunal"/>
        <s v="Neha"/>
      </sharedItems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x v="0"/>
    <x v="0"/>
    <n v="2"/>
    <n v="45000"/>
    <s v="05-01-2025"/>
  </r>
  <r>
    <n v="302"/>
    <x v="1"/>
    <x v="1"/>
    <x v="1"/>
    <n v="5"/>
    <n v="15000"/>
    <s v="07-01-2025"/>
  </r>
  <r>
    <n v="303"/>
    <x v="2"/>
    <x v="2"/>
    <x v="2"/>
    <n v="3"/>
    <n v="18000"/>
    <s v="10-01-2025"/>
  </r>
  <r>
    <n v="304"/>
    <x v="3"/>
    <x v="3"/>
    <x v="0"/>
    <n v="1"/>
    <n v="45000"/>
    <s v="12-01-2025"/>
  </r>
  <r>
    <n v="305"/>
    <x v="0"/>
    <x v="0"/>
    <x v="1"/>
    <n v="4"/>
    <n v="15000"/>
    <s v="15-01-2025"/>
  </r>
  <r>
    <n v="306"/>
    <x v="1"/>
    <x v="1"/>
    <x v="0"/>
    <n v="2"/>
    <n v="45000"/>
    <s v="18-01-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C6B91-8D51-4D5E-AD7B-CFCFE16517C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10" firstHeaderRow="1" firstDataRow="1" firstDataCol="1"/>
  <pivotFields count="7">
    <pivotField showAll="0"/>
    <pivotField axis="axisRow" showAll="0">
      <items count="5">
        <item x="2"/>
        <item x="3"/>
        <item x="1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_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A7A64-321E-4E5C-A16B-7A90748E074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7"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_Price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B5765-8257-4FB1-9880-A182693A97CD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8:C73" firstHeaderRow="1" firstDataRow="1" firstDataCol="1"/>
  <pivotFields count="7">
    <pivotField showAll="0"/>
    <pivotField axis="axisRow" showAll="0">
      <items count="5">
        <item x="2"/>
        <item x="3"/>
        <item x="1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_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93EB3-4B0E-4FA7-A440-0B1E57704681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0:C64" firstHeaderRow="1" firstDataRow="1" firstDataCol="1"/>
  <pivotFields count="7"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_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E4" sqref="E4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selection activeCell="I20" sqref="I20"/>
    </sheetView>
  </sheetViews>
  <sheetFormatPr defaultRowHeight="15" x14ac:dyDescent="0.25"/>
  <cols>
    <col min="10" max="10" width="12.85546875" customWidth="1"/>
    <col min="11" max="11" width="18.7109375" bestFit="1" customWidth="1"/>
  </cols>
  <sheetData>
    <row r="1" spans="1:11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I1" t="s">
        <v>74</v>
      </c>
      <c r="J1" s="1" t="s">
        <v>78</v>
      </c>
      <c r="K1" t="s">
        <v>79</v>
      </c>
    </row>
    <row r="2" spans="1:11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I2">
        <f>Sales_Data!E2*Sales_Data!F2</f>
        <v>90000</v>
      </c>
      <c r="J2">
        <f>VLOOKUP(D2,Product_Master!A1:C4,3,0)</f>
        <v>18</v>
      </c>
      <c r="K2">
        <f>I2+(J2% * I2)</f>
        <v>106200</v>
      </c>
    </row>
    <row r="3" spans="1:11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I3">
        <f>Sales_Data!E3*Sales_Data!F3</f>
        <v>75000</v>
      </c>
      <c r="J3">
        <f>VLOOKUP(D3,Product_Master!A2:C5,3,0)</f>
        <v>12</v>
      </c>
      <c r="K3">
        <f t="shared" ref="K3:K7" si="0">I3+(J3% * I3)</f>
        <v>84000</v>
      </c>
    </row>
    <row r="4" spans="1:11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I4">
        <f>Sales_Data!E4*Sales_Data!F4</f>
        <v>54000</v>
      </c>
      <c r="J4">
        <f>VLOOKUP(D4,Product_Master!A3:C6,3,0)</f>
        <v>12</v>
      </c>
      <c r="K4">
        <f t="shared" si="0"/>
        <v>60480</v>
      </c>
    </row>
    <row r="5" spans="1:11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I5">
        <f>Sales_Data!E5*Sales_Data!F5</f>
        <v>45000</v>
      </c>
      <c r="J5">
        <f>VLOOKUP(D5,Product_Master!A1:C4,3,0)</f>
        <v>18</v>
      </c>
      <c r="K5">
        <f t="shared" si="0"/>
        <v>53100</v>
      </c>
    </row>
    <row r="6" spans="1:11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I6">
        <f>Sales_Data!E6*Sales_Data!F6</f>
        <v>60000</v>
      </c>
      <c r="J6">
        <f>VLOOKUP(D6,Product_Master!A2:C5,3,0)</f>
        <v>12</v>
      </c>
      <c r="K6">
        <f t="shared" si="0"/>
        <v>67200</v>
      </c>
    </row>
    <row r="7" spans="1:11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I7">
        <f>Sales_Data!E7*Sales_Data!F7</f>
        <v>90000</v>
      </c>
      <c r="J7">
        <f>VLOOKUP(D7,Product_Master!A1:C4,3,0)</f>
        <v>18</v>
      </c>
      <c r="K7">
        <f t="shared" si="0"/>
        <v>106200</v>
      </c>
    </row>
    <row r="8" spans="1:11" x14ac:dyDescent="0.25">
      <c r="J8" t="s">
        <v>82</v>
      </c>
      <c r="K8">
        <f>SUM(K2:K7)</f>
        <v>477180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D2" sqref="D2"/>
    </sheetView>
  </sheetViews>
  <sheetFormatPr defaultRowHeight="15" x14ac:dyDescent="0.2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CE72-BBFA-44A8-B556-6199A4D7F7F8}">
  <dimension ref="A1:F10"/>
  <sheetViews>
    <sheetView workbookViewId="0">
      <selection activeCell="D16" sqref="D16"/>
    </sheetView>
  </sheetViews>
  <sheetFormatPr defaultRowHeight="15" x14ac:dyDescent="0.25"/>
  <cols>
    <col min="1" max="1" width="13.140625" bestFit="1" customWidth="1"/>
    <col min="2" max="2" width="17" bestFit="1" customWidth="1"/>
    <col min="5" max="5" width="13.140625" bestFit="1" customWidth="1"/>
    <col min="6" max="6" width="17" bestFit="1" customWidth="1"/>
  </cols>
  <sheetData>
    <row r="1" spans="1:6" x14ac:dyDescent="0.25">
      <c r="A1" s="5" t="s">
        <v>92</v>
      </c>
      <c r="B1" t="s">
        <v>94</v>
      </c>
    </row>
    <row r="2" spans="1:6" x14ac:dyDescent="0.25">
      <c r="A2" s="6" t="s">
        <v>13</v>
      </c>
      <c r="B2" s="7">
        <v>135000</v>
      </c>
    </row>
    <row r="3" spans="1:6" x14ac:dyDescent="0.25">
      <c r="A3" s="6" t="s">
        <v>17</v>
      </c>
      <c r="B3" s="7">
        <v>30000</v>
      </c>
    </row>
    <row r="4" spans="1:6" x14ac:dyDescent="0.25">
      <c r="A4" s="6" t="s">
        <v>21</v>
      </c>
      <c r="B4" s="7">
        <v>18000</v>
      </c>
    </row>
    <row r="5" spans="1:6" x14ac:dyDescent="0.25">
      <c r="A5" s="6" t="s">
        <v>93</v>
      </c>
      <c r="B5" s="7">
        <v>183000</v>
      </c>
      <c r="E5" s="5" t="s">
        <v>92</v>
      </c>
      <c r="F5" t="s">
        <v>94</v>
      </c>
    </row>
    <row r="6" spans="1:6" x14ac:dyDescent="0.25">
      <c r="E6" s="6" t="s">
        <v>19</v>
      </c>
      <c r="F6" s="7">
        <v>18000</v>
      </c>
    </row>
    <row r="7" spans="1:6" x14ac:dyDescent="0.25">
      <c r="E7" s="6" t="s">
        <v>23</v>
      </c>
      <c r="F7" s="7">
        <v>45000</v>
      </c>
    </row>
    <row r="8" spans="1:6" x14ac:dyDescent="0.25">
      <c r="E8" s="6" t="s">
        <v>15</v>
      </c>
      <c r="F8" s="7">
        <v>60000</v>
      </c>
    </row>
    <row r="9" spans="1:6" x14ac:dyDescent="0.25">
      <c r="E9" s="6" t="s">
        <v>11</v>
      </c>
      <c r="F9" s="7">
        <v>60000</v>
      </c>
    </row>
    <row r="10" spans="1:6" x14ac:dyDescent="0.25">
      <c r="E10" s="6" t="s">
        <v>93</v>
      </c>
      <c r="F10" s="7">
        <v>183000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D0E3-DD70-4238-9E60-91D0C35A6D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E1" sqref="E1:E6"/>
    </sheetView>
  </sheetViews>
  <sheetFormatPr defaultRowHeight="15" x14ac:dyDescent="0.2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10" workbookViewId="0">
      <selection activeCell="L21" sqref="L21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E6" s="4"/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8C8F-A8D0-4C7C-BEBE-60E84F6E3515}">
  <dimension ref="A1:I124"/>
  <sheetViews>
    <sheetView tabSelected="1" topLeftCell="A85" zoomScale="83" workbookViewId="0">
      <selection activeCell="H110" sqref="H110"/>
    </sheetView>
  </sheetViews>
  <sheetFormatPr defaultRowHeight="15" x14ac:dyDescent="0.25"/>
  <cols>
    <col min="2" max="2" width="34.42578125" bestFit="1" customWidth="1"/>
    <col min="3" max="3" width="17" customWidth="1"/>
    <col min="7" max="7" width="13.5703125" customWidth="1"/>
  </cols>
  <sheetData>
    <row r="1" spans="1:2" x14ac:dyDescent="0.25">
      <c r="A1" s="8" t="s">
        <v>73</v>
      </c>
    </row>
    <row r="2" spans="1:2" x14ac:dyDescent="0.25">
      <c r="B2" s="3" t="s">
        <v>74</v>
      </c>
    </row>
    <row r="3" spans="1:2" x14ac:dyDescent="0.25">
      <c r="B3" s="2">
        <f>Sales_Data!E2*Sales_Data!F2</f>
        <v>90000</v>
      </c>
    </row>
    <row r="4" spans="1:2" x14ac:dyDescent="0.25">
      <c r="B4" s="2">
        <f>Sales_Data!E3*Sales_Data!F3</f>
        <v>75000</v>
      </c>
    </row>
    <row r="5" spans="1:2" x14ac:dyDescent="0.25">
      <c r="B5" s="2">
        <f>Sales_Data!E4*Sales_Data!F4</f>
        <v>54000</v>
      </c>
    </row>
    <row r="6" spans="1:2" x14ac:dyDescent="0.25">
      <c r="B6" s="2">
        <f>Sales_Data!E5*Sales_Data!F5</f>
        <v>45000</v>
      </c>
    </row>
    <row r="7" spans="1:2" x14ac:dyDescent="0.25">
      <c r="B7" s="2">
        <f>Sales_Data!E6*Sales_Data!F6</f>
        <v>60000</v>
      </c>
    </row>
    <row r="8" spans="1:2" x14ac:dyDescent="0.25">
      <c r="B8" s="2">
        <f>Sales_Data!E7*Sales_Data!F7</f>
        <v>90000</v>
      </c>
    </row>
    <row r="10" spans="1:2" x14ac:dyDescent="0.25">
      <c r="A10" s="8" t="s">
        <v>75</v>
      </c>
    </row>
    <row r="11" spans="1:2" x14ac:dyDescent="0.25">
      <c r="B11" s="3" t="s">
        <v>76</v>
      </c>
    </row>
    <row r="12" spans="1:2" x14ac:dyDescent="0.25">
      <c r="A12" s="2" t="s">
        <v>13</v>
      </c>
      <c r="B12" s="2">
        <f>VLOOKUP(A12,Product_Master!A1:C4,3,0)</f>
        <v>18</v>
      </c>
    </row>
    <row r="15" spans="1:2" x14ac:dyDescent="0.25">
      <c r="A15" s="8" t="s">
        <v>77</v>
      </c>
    </row>
    <row r="16" spans="1:2" x14ac:dyDescent="0.25">
      <c r="B16" s="3" t="s">
        <v>80</v>
      </c>
    </row>
    <row r="17" spans="1:2" x14ac:dyDescent="0.25">
      <c r="B17" s="2">
        <f>Sales_Data!K2</f>
        <v>106200</v>
      </c>
    </row>
    <row r="18" spans="1:2" x14ac:dyDescent="0.25">
      <c r="B18" s="2">
        <f>Sales_Data!K3</f>
        <v>84000</v>
      </c>
    </row>
    <row r="19" spans="1:2" x14ac:dyDescent="0.25">
      <c r="B19" s="2">
        <f>Sales_Data!K4</f>
        <v>60480</v>
      </c>
    </row>
    <row r="20" spans="1:2" x14ac:dyDescent="0.25">
      <c r="B20" s="2">
        <f>Sales_Data!K5</f>
        <v>53100</v>
      </c>
    </row>
    <row r="21" spans="1:2" x14ac:dyDescent="0.25">
      <c r="B21" s="2">
        <f>Sales_Data!K6</f>
        <v>67200</v>
      </c>
    </row>
    <row r="22" spans="1:2" x14ac:dyDescent="0.25">
      <c r="B22" s="2">
        <f>Sales_Data!K7</f>
        <v>106200</v>
      </c>
    </row>
    <row r="25" spans="1:2" x14ac:dyDescent="0.25">
      <c r="A25" s="8" t="s">
        <v>81</v>
      </c>
    </row>
    <row r="26" spans="1:2" x14ac:dyDescent="0.25">
      <c r="B26" s="3" t="s">
        <v>83</v>
      </c>
    </row>
    <row r="27" spans="1:2" x14ac:dyDescent="0.25">
      <c r="B27" s="2">
        <f xml:space="preserve"> SUM(B17:B22)</f>
        <v>477180</v>
      </c>
    </row>
    <row r="30" spans="1:2" x14ac:dyDescent="0.25">
      <c r="A30" s="8" t="s">
        <v>84</v>
      </c>
    </row>
    <row r="31" spans="1:2" x14ac:dyDescent="0.25">
      <c r="B31" s="2">
        <f xml:space="preserve"> COUNTA(Sales_Data!A2:A7)</f>
        <v>6</v>
      </c>
    </row>
    <row r="34" spans="1:9" x14ac:dyDescent="0.25">
      <c r="A34" s="8" t="s">
        <v>85</v>
      </c>
    </row>
    <row r="35" spans="1:9" x14ac:dyDescent="0.25">
      <c r="B35" t="s">
        <v>5</v>
      </c>
      <c r="C35" t="s">
        <v>74</v>
      </c>
    </row>
    <row r="36" spans="1:9" x14ac:dyDescent="0.25">
      <c r="B36" t="s">
        <v>11</v>
      </c>
    </row>
    <row r="37" spans="1:9" x14ac:dyDescent="0.25">
      <c r="B37" t="s">
        <v>15</v>
      </c>
    </row>
    <row r="38" spans="1:9" x14ac:dyDescent="0.25">
      <c r="B38" t="s">
        <v>19</v>
      </c>
    </row>
    <row r="39" spans="1:9" x14ac:dyDescent="0.25">
      <c r="B39" t="s">
        <v>23</v>
      </c>
    </row>
    <row r="41" spans="1:9" x14ac:dyDescent="0.25">
      <c r="A41" s="8" t="s">
        <v>86</v>
      </c>
      <c r="B41" t="s">
        <v>88</v>
      </c>
      <c r="C41" t="s">
        <v>87</v>
      </c>
    </row>
    <row r="42" spans="1:9" x14ac:dyDescent="0.25">
      <c r="B42">
        <f>MAX(B3:B8)</f>
        <v>90000</v>
      </c>
      <c r="C42">
        <f>MIN(B3:B8)</f>
        <v>45000</v>
      </c>
    </row>
    <row r="46" spans="1:9" x14ac:dyDescent="0.25">
      <c r="A46" s="8" t="s">
        <v>89</v>
      </c>
      <c r="B46" t="s">
        <v>31</v>
      </c>
      <c r="C46" t="s">
        <v>32</v>
      </c>
      <c r="D46" t="s">
        <v>33</v>
      </c>
      <c r="E46" t="s">
        <v>34</v>
      </c>
      <c r="F46" t="s">
        <v>35</v>
      </c>
      <c r="G46" t="s">
        <v>36</v>
      </c>
      <c r="I46" t="s">
        <v>90</v>
      </c>
    </row>
    <row r="47" spans="1:9" x14ac:dyDescent="0.25">
      <c r="B47">
        <v>1</v>
      </c>
      <c r="C47" t="s">
        <v>37</v>
      </c>
      <c r="D47">
        <v>78</v>
      </c>
      <c r="E47">
        <v>82</v>
      </c>
      <c r="F47">
        <v>85</v>
      </c>
      <c r="G47">
        <v>92</v>
      </c>
      <c r="I47">
        <f>AVERAGE(D47:F47)</f>
        <v>81.666666666666671</v>
      </c>
    </row>
    <row r="48" spans="1:9" x14ac:dyDescent="0.25">
      <c r="B48">
        <v>2</v>
      </c>
      <c r="C48" t="s">
        <v>38</v>
      </c>
      <c r="D48">
        <v>88</v>
      </c>
      <c r="E48">
        <v>91</v>
      </c>
      <c r="F48">
        <v>90</v>
      </c>
      <c r="G48">
        <v>96</v>
      </c>
      <c r="I48">
        <f t="shared" ref="I48:I51" si="0">AVERAGE(D48:F48)</f>
        <v>89.666666666666671</v>
      </c>
    </row>
    <row r="49" spans="1:9" x14ac:dyDescent="0.25">
      <c r="B49">
        <v>3</v>
      </c>
      <c r="C49" t="s">
        <v>39</v>
      </c>
      <c r="D49">
        <v>65</v>
      </c>
      <c r="E49">
        <v>70</v>
      </c>
      <c r="F49">
        <v>72</v>
      </c>
      <c r="G49">
        <v>85</v>
      </c>
      <c r="I49">
        <f t="shared" si="0"/>
        <v>69</v>
      </c>
    </row>
    <row r="50" spans="1:9" x14ac:dyDescent="0.25">
      <c r="B50">
        <v>4</v>
      </c>
      <c r="C50" t="s">
        <v>40</v>
      </c>
      <c r="D50">
        <v>92</v>
      </c>
      <c r="E50">
        <v>89</v>
      </c>
      <c r="F50">
        <v>94</v>
      </c>
      <c r="G50">
        <v>98</v>
      </c>
      <c r="I50">
        <f t="shared" si="0"/>
        <v>91.666666666666671</v>
      </c>
    </row>
    <row r="51" spans="1:9" x14ac:dyDescent="0.25">
      <c r="B51">
        <v>5</v>
      </c>
      <c r="C51" t="s">
        <v>41</v>
      </c>
      <c r="D51">
        <v>55</v>
      </c>
      <c r="E51">
        <v>60</v>
      </c>
      <c r="F51">
        <v>58</v>
      </c>
      <c r="G51">
        <v>80</v>
      </c>
      <c r="I51">
        <f t="shared" si="0"/>
        <v>57.666666666666664</v>
      </c>
    </row>
    <row r="55" spans="1:9" x14ac:dyDescent="0.25">
      <c r="A55" s="8" t="s">
        <v>91</v>
      </c>
      <c r="B55">
        <f>MAX(I47:I51)</f>
        <v>91.666666666666671</v>
      </c>
    </row>
    <row r="58" spans="1:9" x14ac:dyDescent="0.25">
      <c r="A58" s="8" t="s">
        <v>95</v>
      </c>
    </row>
    <row r="60" spans="1:9" x14ac:dyDescent="0.25">
      <c r="B60" s="5" t="s">
        <v>92</v>
      </c>
      <c r="C60" t="s">
        <v>94</v>
      </c>
    </row>
    <row r="61" spans="1:9" x14ac:dyDescent="0.25">
      <c r="B61" s="6" t="s">
        <v>13</v>
      </c>
      <c r="C61" s="7">
        <v>135000</v>
      </c>
    </row>
    <row r="62" spans="1:9" x14ac:dyDescent="0.25">
      <c r="B62" s="6" t="s">
        <v>17</v>
      </c>
      <c r="C62" s="7">
        <v>30000</v>
      </c>
    </row>
    <row r="63" spans="1:9" x14ac:dyDescent="0.25">
      <c r="B63" s="6" t="s">
        <v>21</v>
      </c>
      <c r="C63" s="7">
        <v>18000</v>
      </c>
    </row>
    <row r="64" spans="1:9" x14ac:dyDescent="0.25">
      <c r="B64" s="6" t="s">
        <v>93</v>
      </c>
      <c r="C64" s="7">
        <v>183000</v>
      </c>
    </row>
    <row r="66" spans="1:3" x14ac:dyDescent="0.25">
      <c r="A66" s="8" t="s">
        <v>96</v>
      </c>
    </row>
    <row r="68" spans="1:3" x14ac:dyDescent="0.25">
      <c r="B68" s="5" t="s">
        <v>92</v>
      </c>
      <c r="C68" t="s">
        <v>94</v>
      </c>
    </row>
    <row r="69" spans="1:3" x14ac:dyDescent="0.25">
      <c r="B69" s="6" t="s">
        <v>19</v>
      </c>
      <c r="C69" s="7">
        <v>18000</v>
      </c>
    </row>
    <row r="70" spans="1:3" x14ac:dyDescent="0.25">
      <c r="B70" s="6" t="s">
        <v>23</v>
      </c>
      <c r="C70" s="7">
        <v>45000</v>
      </c>
    </row>
    <row r="71" spans="1:3" x14ac:dyDescent="0.25">
      <c r="B71" s="6" t="s">
        <v>15</v>
      </c>
      <c r="C71" s="7">
        <v>60000</v>
      </c>
    </row>
    <row r="72" spans="1:3" x14ac:dyDescent="0.25">
      <c r="B72" s="6" t="s">
        <v>11</v>
      </c>
      <c r="C72" s="7">
        <v>60000</v>
      </c>
    </row>
    <row r="73" spans="1:3" x14ac:dyDescent="0.25">
      <c r="B73" s="6" t="s">
        <v>93</v>
      </c>
      <c r="C73" s="7">
        <v>183000</v>
      </c>
    </row>
    <row r="77" spans="1:3" x14ac:dyDescent="0.25">
      <c r="A77" s="8" t="s">
        <v>97</v>
      </c>
    </row>
    <row r="91" spans="1:1" x14ac:dyDescent="0.25">
      <c r="A91" s="8" t="s">
        <v>98</v>
      </c>
    </row>
    <row r="105" spans="1:7" x14ac:dyDescent="0.25">
      <c r="A105" s="8" t="s">
        <v>99</v>
      </c>
      <c r="B105" t="s">
        <v>31</v>
      </c>
      <c r="C105" t="s">
        <v>32</v>
      </c>
      <c r="D105" t="s">
        <v>33</v>
      </c>
      <c r="E105" t="s">
        <v>34</v>
      </c>
      <c r="F105" t="s">
        <v>35</v>
      </c>
      <c r="G105" t="s">
        <v>36</v>
      </c>
    </row>
    <row r="106" spans="1:7" x14ac:dyDescent="0.25">
      <c r="B106">
        <v>1</v>
      </c>
      <c r="C106" t="s">
        <v>37</v>
      </c>
      <c r="D106">
        <v>78</v>
      </c>
      <c r="E106">
        <v>82</v>
      </c>
      <c r="F106">
        <v>85</v>
      </c>
      <c r="G106">
        <v>92</v>
      </c>
    </row>
    <row r="107" spans="1:7" x14ac:dyDescent="0.25">
      <c r="B107">
        <v>2</v>
      </c>
      <c r="C107" t="s">
        <v>38</v>
      </c>
      <c r="D107">
        <v>88</v>
      </c>
      <c r="E107">
        <v>91</v>
      </c>
      <c r="F107">
        <v>90</v>
      </c>
      <c r="G107">
        <v>96</v>
      </c>
    </row>
    <row r="108" spans="1:7" x14ac:dyDescent="0.25">
      <c r="B108">
        <v>3</v>
      </c>
      <c r="C108" t="s">
        <v>39</v>
      </c>
      <c r="D108">
        <v>65</v>
      </c>
      <c r="E108">
        <v>70</v>
      </c>
      <c r="F108">
        <v>72</v>
      </c>
      <c r="G108">
        <v>85</v>
      </c>
    </row>
    <row r="109" spans="1:7" x14ac:dyDescent="0.25">
      <c r="B109">
        <v>4</v>
      </c>
      <c r="C109" t="s">
        <v>40</v>
      </c>
      <c r="D109">
        <v>92</v>
      </c>
      <c r="E109">
        <v>89</v>
      </c>
      <c r="F109">
        <v>94</v>
      </c>
      <c r="G109">
        <v>98</v>
      </c>
    </row>
    <row r="110" spans="1:7" x14ac:dyDescent="0.25">
      <c r="B110">
        <v>5</v>
      </c>
      <c r="C110" t="s">
        <v>41</v>
      </c>
      <c r="D110">
        <v>55</v>
      </c>
      <c r="E110">
        <v>60</v>
      </c>
      <c r="F110">
        <v>58</v>
      </c>
      <c r="G110">
        <v>80</v>
      </c>
    </row>
    <row r="112" spans="1:7" x14ac:dyDescent="0.25">
      <c r="D112" t="s">
        <v>100</v>
      </c>
      <c r="E112" s="9">
        <f>MEDIAN(E106:E110)</f>
        <v>82</v>
      </c>
    </row>
    <row r="115" spans="1:4" x14ac:dyDescent="0.25">
      <c r="A115" s="8" t="s">
        <v>102</v>
      </c>
      <c r="B115" t="s">
        <v>31</v>
      </c>
      <c r="C115" t="s">
        <v>32</v>
      </c>
      <c r="D115" s="10" t="s">
        <v>101</v>
      </c>
    </row>
    <row r="116" spans="1:4" x14ac:dyDescent="0.25">
      <c r="B116">
        <v>1</v>
      </c>
      <c r="C116" t="s">
        <v>37</v>
      </c>
      <c r="D116" t="str">
        <f>_xlfn.CONCAT(B116:C116)</f>
        <v>1Rahul</v>
      </c>
    </row>
    <row r="117" spans="1:4" x14ac:dyDescent="0.25">
      <c r="B117">
        <v>2</v>
      </c>
      <c r="C117" t="s">
        <v>38</v>
      </c>
      <c r="D117" t="str">
        <f t="shared" ref="D117:D120" si="1">_xlfn.CONCAT(B117:C117)</f>
        <v>2Sneha</v>
      </c>
    </row>
    <row r="118" spans="1:4" x14ac:dyDescent="0.25">
      <c r="B118">
        <v>3</v>
      </c>
      <c r="C118" t="s">
        <v>39</v>
      </c>
      <c r="D118" t="str">
        <f t="shared" si="1"/>
        <v>3Arjun</v>
      </c>
    </row>
    <row r="119" spans="1:4" x14ac:dyDescent="0.25">
      <c r="B119">
        <v>4</v>
      </c>
      <c r="C119" t="s">
        <v>40</v>
      </c>
      <c r="D119" t="str">
        <f t="shared" si="1"/>
        <v>4Pooja</v>
      </c>
    </row>
    <row r="120" spans="1:4" x14ac:dyDescent="0.25">
      <c r="B120">
        <v>5</v>
      </c>
      <c r="C120" t="s">
        <v>41</v>
      </c>
      <c r="D120" t="str">
        <f t="shared" si="1"/>
        <v>5Vikas</v>
      </c>
    </row>
    <row r="124" spans="1:4" x14ac:dyDescent="0.25">
      <c r="A124" s="8" t="s">
        <v>103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Sales_Data</vt:lpstr>
      <vt:lpstr>Product_Master</vt:lpstr>
      <vt:lpstr>Sheet1</vt:lpstr>
      <vt:lpstr>Sheet2</vt:lpstr>
      <vt:lpstr>Student_Marks</vt:lpstr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ASDC15</cp:lastModifiedBy>
  <dcterms:created xsi:type="dcterms:W3CDTF">2025-12-20T09:26:06Z</dcterms:created>
  <dcterms:modified xsi:type="dcterms:W3CDTF">2026-07-07T10:12:37Z</dcterms:modified>
</cp:coreProperties>
</file>