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9"/>
  </bookViews>
  <sheets>
    <sheet name="TASK1" sheetId="1" r:id="rId1"/>
    <sheet name="TASK 2" sheetId="11" r:id="rId2"/>
    <sheet name="TASK3" sheetId="3" r:id="rId3"/>
    <sheet name="TASK4" sheetId="4" r:id="rId4"/>
    <sheet name="TASK5" sheetId="5" r:id="rId5"/>
    <sheet name="TASK6" sheetId="6" r:id="rId6"/>
    <sheet name="TASK7" sheetId="7" r:id="rId7"/>
    <sheet name="TASK8" sheetId="8" r:id="rId8"/>
    <sheet name="TASK9" sheetId="9" r:id="rId9"/>
    <sheet name="TASK10" sheetId="10" r:id="rId10"/>
  </sheets>
  <calcPr calcId="124519"/>
</workbook>
</file>

<file path=xl/calcChain.xml><?xml version="1.0" encoding="utf-8"?>
<calcChain xmlns="http://schemas.openxmlformats.org/spreadsheetml/2006/main">
  <c r="G6" i="11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5"/>
  <c r="L4" i="7"/>
  <c r="L3"/>
  <c r="J6" i="6"/>
  <c r="J7"/>
  <c r="J8"/>
  <c r="J9"/>
  <c r="J10"/>
  <c r="J11"/>
  <c r="J12"/>
  <c r="J13"/>
  <c r="J14"/>
  <c r="J15"/>
  <c r="J16"/>
  <c r="J17"/>
  <c r="J18"/>
  <c r="J19"/>
  <c r="J20"/>
  <c r="J21"/>
  <c r="J22"/>
  <c r="J23"/>
  <c r="J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5"/>
  <c r="G5" i="5"/>
  <c r="G6"/>
  <c r="G7"/>
  <c r="G8"/>
  <c r="G9"/>
  <c r="G10"/>
  <c r="G11"/>
  <c r="G12"/>
  <c r="G13"/>
  <c r="G14"/>
  <c r="G15"/>
  <c r="G16"/>
  <c r="G17"/>
  <c r="G18"/>
  <c r="G19"/>
  <c r="G20"/>
  <c r="G21"/>
  <c r="G22"/>
  <c r="G4"/>
  <c r="H5" i="4"/>
  <c r="H6"/>
  <c r="H7"/>
  <c r="H8"/>
  <c r="H9"/>
  <c r="H10"/>
  <c r="H11"/>
  <c r="H12"/>
  <c r="H13"/>
  <c r="H14"/>
  <c r="H15"/>
  <c r="H16"/>
  <c r="H17"/>
  <c r="H18"/>
  <c r="H19"/>
  <c r="H20"/>
  <c r="H21"/>
  <c r="H22"/>
  <c r="H23"/>
  <c r="H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4"/>
  <c r="K5" i="3"/>
  <c r="K6"/>
  <c r="K7"/>
  <c r="K8"/>
  <c r="K9"/>
  <c r="K10"/>
  <c r="K11"/>
  <c r="K12"/>
  <c r="K13"/>
  <c r="K14"/>
  <c r="K15"/>
  <c r="K16"/>
  <c r="K17"/>
  <c r="K18"/>
  <c r="K19"/>
  <c r="K20"/>
  <c r="K21"/>
  <c r="K22"/>
  <c r="K23"/>
  <c r="K4"/>
  <c r="G4" i="1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4"/>
  <c r="M19" i="5" l="1"/>
  <c r="M18"/>
  <c r="M13"/>
  <c r="M16"/>
  <c r="M14"/>
  <c r="M12"/>
  <c r="M15"/>
  <c r="L23" i="6"/>
  <c r="L19"/>
  <c r="L15"/>
  <c r="L11"/>
  <c r="L7"/>
  <c r="L22"/>
  <c r="L18"/>
  <c r="L14"/>
  <c r="L10"/>
  <c r="L6"/>
  <c r="K21"/>
  <c r="K17"/>
  <c r="K13"/>
  <c r="K9"/>
  <c r="L5"/>
  <c r="L20"/>
  <c r="L16"/>
  <c r="L12"/>
  <c r="L8"/>
  <c r="L21"/>
  <c r="L17"/>
  <c r="L13"/>
  <c r="L9"/>
  <c r="K22"/>
  <c r="K18"/>
  <c r="K14"/>
  <c r="K10"/>
  <c r="K6"/>
  <c r="K5"/>
  <c r="K20"/>
  <c r="K16"/>
  <c r="K12"/>
  <c r="K8"/>
  <c r="K23"/>
  <c r="K19"/>
  <c r="K15"/>
  <c r="K11"/>
  <c r="K7"/>
  <c r="L14" i="4"/>
  <c r="L12"/>
  <c r="H26"/>
  <c r="H25"/>
</calcChain>
</file>

<file path=xl/sharedStrings.xml><?xml version="1.0" encoding="utf-8"?>
<sst xmlns="http://schemas.openxmlformats.org/spreadsheetml/2006/main" count="354" uniqueCount="263">
  <si>
    <t>E101</t>
  </si>
  <si>
    <t xml:space="preserve"> Amit Sharma</t>
  </si>
  <si>
    <t>E102</t>
  </si>
  <si>
    <t>Nitya Gohel</t>
  </si>
  <si>
    <t>E103</t>
  </si>
  <si>
    <t>Neha Sharma</t>
  </si>
  <si>
    <t>E104</t>
  </si>
  <si>
    <t>Pooja Singh</t>
  </si>
  <si>
    <t>E105</t>
  </si>
  <si>
    <t>Mansi Thanki</t>
  </si>
  <si>
    <t>E106</t>
  </si>
  <si>
    <t>Krish Mehta</t>
  </si>
  <si>
    <t>E107</t>
  </si>
  <si>
    <t>Mahek Patel</t>
  </si>
  <si>
    <t>E108</t>
  </si>
  <si>
    <t>Ram Sharma</t>
  </si>
  <si>
    <t>E109</t>
  </si>
  <si>
    <t>Kirtan Malam</t>
  </si>
  <si>
    <t>E110</t>
  </si>
  <si>
    <t>Bhumi Desai</t>
  </si>
  <si>
    <t>E111</t>
  </si>
  <si>
    <t>Ajay Varma</t>
  </si>
  <si>
    <t>E112</t>
  </si>
  <si>
    <t>Dev Singh</t>
  </si>
  <si>
    <t>E113</t>
  </si>
  <si>
    <t>Raj Odedra</t>
  </si>
  <si>
    <t>E114</t>
  </si>
  <si>
    <t>Kinjal Dave</t>
  </si>
  <si>
    <t>E115</t>
  </si>
  <si>
    <t>Riya Jungi</t>
  </si>
  <si>
    <t>E116</t>
  </si>
  <si>
    <t>Keyur Malam</t>
  </si>
  <si>
    <t>E117</t>
  </si>
  <si>
    <t>Parth Makvana</t>
  </si>
  <si>
    <t>E118</t>
  </si>
  <si>
    <t>Vishva Patel</t>
  </si>
  <si>
    <t>E119</t>
  </si>
  <si>
    <t>Devanshu sharma</t>
  </si>
  <si>
    <t>E120</t>
  </si>
  <si>
    <t>Diya Thanki</t>
  </si>
  <si>
    <t>Name</t>
  </si>
  <si>
    <t>Employee id</t>
  </si>
  <si>
    <t>Department</t>
  </si>
  <si>
    <t>Salary</t>
  </si>
  <si>
    <t>Joining Date</t>
  </si>
  <si>
    <t>HR</t>
  </si>
  <si>
    <t>Finance</t>
  </si>
  <si>
    <t>IT</t>
  </si>
  <si>
    <t>Marketing</t>
  </si>
  <si>
    <t>Sales</t>
  </si>
  <si>
    <t>Employee Sheet</t>
  </si>
  <si>
    <t>Product Name</t>
  </si>
  <si>
    <t>Region</t>
  </si>
  <si>
    <t>Sales Amount</t>
  </si>
  <si>
    <t>South</t>
  </si>
  <si>
    <t>North</t>
  </si>
  <si>
    <t>West</t>
  </si>
  <si>
    <t>East</t>
  </si>
  <si>
    <t>Student Marksheet</t>
  </si>
  <si>
    <t>Roll No</t>
  </si>
  <si>
    <t>Priya</t>
  </si>
  <si>
    <t>Monish</t>
  </si>
  <si>
    <t>Devanshu</t>
  </si>
  <si>
    <t>Monik</t>
  </si>
  <si>
    <t>Manisha</t>
  </si>
  <si>
    <t>Chetan</t>
  </si>
  <si>
    <t>Kripa</t>
  </si>
  <si>
    <t>Sonal</t>
  </si>
  <si>
    <t>Riya</t>
  </si>
  <si>
    <t>Grishma</t>
  </si>
  <si>
    <t>Kanan</t>
  </si>
  <si>
    <t>Nancy</t>
  </si>
  <si>
    <t>Ridhhi</t>
  </si>
  <si>
    <t>Poonam</t>
  </si>
  <si>
    <t>Jiya</t>
  </si>
  <si>
    <t>Jasmin</t>
  </si>
  <si>
    <t>Dharmesh</t>
  </si>
  <si>
    <t>Krina</t>
  </si>
  <si>
    <t>Krunal</t>
  </si>
  <si>
    <t>Yash</t>
  </si>
  <si>
    <t>Student Name</t>
  </si>
  <si>
    <t>Python</t>
  </si>
  <si>
    <t>Java</t>
  </si>
  <si>
    <t>DBMS</t>
  </si>
  <si>
    <t>Percentage</t>
  </si>
  <si>
    <t>Sales Summary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</si>
  <si>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</si>
  <si>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</si>
  <si>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</si>
  <si>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</si>
  <si>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</si>
  <si>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</si>
  <si>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</si>
  <si>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</si>
  <si>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</si>
  <si>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</si>
  <si>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</si>
  <si>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</si>
  <si>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</si>
  <si>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</si>
  <si>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</si>
  <si>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</si>
  <si>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</si>
  <si>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</si>
  <si>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</si>
  <si>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</si>
  <si>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</si>
  <si>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</si>
  <si>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Total Sales</t>
  </si>
  <si>
    <t>Average</t>
  </si>
  <si>
    <t>Highest Sales</t>
  </si>
  <si>
    <t>Lowest Saes</t>
  </si>
  <si>
    <t>Department -Wise Salary Analysis</t>
  </si>
  <si>
    <t>Employe Name</t>
  </si>
  <si>
    <t>karan</t>
  </si>
  <si>
    <t>Neel</t>
  </si>
  <si>
    <t>Komal</t>
  </si>
  <si>
    <t>Shivam</t>
  </si>
  <si>
    <t>Shivangi</t>
  </si>
  <si>
    <t>Meet</t>
  </si>
  <si>
    <t>kavshangi</t>
  </si>
  <si>
    <t>Khushi</t>
  </si>
  <si>
    <t>Khushal</t>
  </si>
  <si>
    <t>Jay</t>
  </si>
  <si>
    <t>Shivraj</t>
  </si>
  <si>
    <t>Kiyan</t>
  </si>
  <si>
    <t>Shivu</t>
  </si>
  <si>
    <t>Krishn</t>
  </si>
  <si>
    <t>Jaymal</t>
  </si>
  <si>
    <t>Devang</t>
  </si>
  <si>
    <t>Harsh</t>
  </si>
  <si>
    <t>Shiya</t>
  </si>
  <si>
    <t>Analysis Table</t>
  </si>
  <si>
    <t>Total Salary</t>
  </si>
  <si>
    <t>Attendance Sheet</t>
  </si>
  <si>
    <t xml:space="preserve">Riya </t>
  </si>
  <si>
    <t>Yansi</t>
  </si>
  <si>
    <t>Bhavy</t>
  </si>
  <si>
    <t>Kruti</t>
  </si>
  <si>
    <t>Nisha</t>
  </si>
  <si>
    <t>Krisha</t>
  </si>
  <si>
    <t>Shima</t>
  </si>
  <si>
    <t>Kajal</t>
  </si>
  <si>
    <t>Geeta</t>
  </si>
  <si>
    <t>Jeet</t>
  </si>
  <si>
    <t>Jitu</t>
  </si>
  <si>
    <t>Raj</t>
  </si>
  <si>
    <t>Shita</t>
  </si>
  <si>
    <t>kripa</t>
  </si>
  <si>
    <t>Mokshi</t>
  </si>
  <si>
    <t>Shruti</t>
  </si>
  <si>
    <t>Day1</t>
  </si>
  <si>
    <t>Day2</t>
  </si>
  <si>
    <t>Day3</t>
  </si>
  <si>
    <t>Day4</t>
  </si>
  <si>
    <t>Day5</t>
  </si>
  <si>
    <t>Total Present</t>
  </si>
  <si>
    <t>Total Absent</t>
  </si>
  <si>
    <t>Sales Count Logic</t>
  </si>
  <si>
    <t>Order Id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</si>
  <si>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</si>
  <si>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</si>
  <si>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</si>
  <si>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</si>
  <si>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</si>
  <si>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</si>
  <si>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</si>
  <si>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</si>
  <si>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</si>
  <si>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</si>
  <si>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</si>
  <si>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</si>
  <si>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</si>
  <si>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</si>
  <si>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</si>
  <si>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</si>
  <si>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</si>
  <si>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</si>
  <si>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</si>
  <si>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</si>
  <si>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Sales Counting</t>
  </si>
  <si>
    <t>Sales Above 10k</t>
  </si>
  <si>
    <t>Sales below 5k</t>
  </si>
  <si>
    <t>Average Salary</t>
  </si>
  <si>
    <t>Total Employe</t>
  </si>
  <si>
    <t>Kavya</t>
  </si>
  <si>
    <t>Monika</t>
  </si>
  <si>
    <t>Neha</t>
  </si>
  <si>
    <t>Shreya</t>
  </si>
  <si>
    <t>Krishna</t>
  </si>
  <si>
    <t>Noori</t>
  </si>
  <si>
    <t>Janvi</t>
  </si>
  <si>
    <t>Jigar</t>
  </si>
  <si>
    <t>Mohit</t>
  </si>
  <si>
    <t>Smit</t>
  </si>
  <si>
    <t>Viral</t>
  </si>
  <si>
    <t>Ashwin</t>
  </si>
  <si>
    <t>Avni</t>
  </si>
  <si>
    <t>Priyanshi</t>
  </si>
  <si>
    <t>Marks</t>
  </si>
  <si>
    <t>Salary Band Analysis</t>
  </si>
  <si>
    <t>Avni Varvadiya</t>
  </si>
  <si>
    <t>Kavya Sharma</t>
  </si>
  <si>
    <t>Krisha Makvana</t>
  </si>
  <si>
    <t>Monika Solanki</t>
  </si>
  <si>
    <t>Shreya Gohel</t>
  </si>
  <si>
    <t>Shivu Patel</t>
  </si>
  <si>
    <t>Krishna Tank</t>
  </si>
  <si>
    <t>Noori Bhatiya</t>
  </si>
  <si>
    <t>Priya bhati</t>
  </si>
  <si>
    <t>Janvi Vora</t>
  </si>
  <si>
    <t>Jeet Odedra</t>
  </si>
  <si>
    <t>Jigar Bamniya</t>
  </si>
  <si>
    <t>Mohit Malam</t>
  </si>
  <si>
    <t>Smit Tukadiya</t>
  </si>
  <si>
    <t>Shruti Odedra</t>
  </si>
  <si>
    <t>Viral Patel</t>
  </si>
  <si>
    <t>Ashwin Sharma</t>
  </si>
  <si>
    <t>Product and Sales Details</t>
  </si>
  <si>
    <t>Mobaile</t>
  </si>
  <si>
    <t>Headphone</t>
  </si>
  <si>
    <t>Laptop</t>
  </si>
  <si>
    <t>Wire Keyboard</t>
  </si>
  <si>
    <t>Wire Mouse</t>
  </si>
  <si>
    <t>Wirelwss Mouse</t>
  </si>
  <si>
    <t>Wireless Keybourd &amp; Mouse</t>
  </si>
  <si>
    <t>Tablet</t>
  </si>
  <si>
    <t>Android Charger</t>
  </si>
  <si>
    <t>USB Cable</t>
  </si>
  <si>
    <t>USB Pen Drive</t>
  </si>
  <si>
    <t>OTG</t>
  </si>
  <si>
    <t>Earbuds</t>
  </si>
  <si>
    <t>Hands-Free</t>
  </si>
  <si>
    <t>Airpods</t>
  </si>
  <si>
    <t>I-phone</t>
  </si>
  <si>
    <t>I-pad</t>
  </si>
  <si>
    <t>Mackbook</t>
  </si>
  <si>
    <t>Monthly Sales Reports</t>
  </si>
  <si>
    <t xml:space="preserve">Laptop  Dell </t>
  </si>
  <si>
    <t>Mobile Phone</t>
  </si>
  <si>
    <t>Charger</t>
  </si>
  <si>
    <t>Mouse</t>
  </si>
  <si>
    <t>Touchpad</t>
  </si>
  <si>
    <t>Monitor</t>
  </si>
  <si>
    <t>Keyboard</t>
  </si>
  <si>
    <t>Printer</t>
  </si>
  <si>
    <t>Scanner</t>
  </si>
  <si>
    <t>Webcam</t>
  </si>
  <si>
    <t>Headphones</t>
  </si>
  <si>
    <t>Speaker</t>
  </si>
  <si>
    <t>Power Bank</t>
  </si>
  <si>
    <t>USB Drive</t>
  </si>
  <si>
    <t>Hard Disk</t>
  </si>
  <si>
    <t>SSD</t>
  </si>
  <si>
    <t>Router</t>
  </si>
  <si>
    <t>Wi-Fi Adapter</t>
  </si>
  <si>
    <t>Projector</t>
  </si>
  <si>
    <t>Smartwatch</t>
  </si>
  <si>
    <t>Microphone</t>
  </si>
  <si>
    <t>Sales Person</t>
  </si>
  <si>
    <t>Vishva</t>
  </si>
  <si>
    <t>Parth</t>
  </si>
  <si>
    <t>Mukund</t>
  </si>
</sst>
</file>

<file path=xl/styles.xml><?xml version="1.0" encoding="utf-8"?>
<styleSheet xmlns="http://schemas.openxmlformats.org/spreadsheetml/2006/main">
  <numFmts count="1">
    <numFmt numFmtId="164" formatCode="&quot;₹&quot;\ #,##0.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Fill="1" applyBorder="1"/>
    <xf numFmtId="0" fontId="0" fillId="0" borderId="0" xfId="0"/>
    <xf numFmtId="0" fontId="2" fillId="0" borderId="0" xfId="0" applyFont="1"/>
    <xf numFmtId="0" fontId="0" fillId="3" borderId="1" xfId="0" applyFill="1" applyBorder="1"/>
    <xf numFmtId="0" fontId="0" fillId="6" borderId="1" xfId="0" applyFill="1" applyBorder="1"/>
    <xf numFmtId="164" fontId="0" fillId="6" borderId="1" xfId="0" applyNumberFormat="1" applyFill="1" applyBorder="1"/>
    <xf numFmtId="14" fontId="0" fillId="6" borderId="1" xfId="0" applyNumberFormat="1" applyFill="1" applyBorder="1"/>
    <xf numFmtId="0" fontId="0" fillId="7" borderId="1" xfId="0" applyFill="1" applyBorder="1"/>
    <xf numFmtId="0" fontId="0" fillId="8" borderId="1" xfId="0" applyFill="1" applyBorder="1"/>
    <xf numFmtId="0" fontId="0" fillId="10" borderId="1" xfId="0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0" fillId="6" borderId="5" xfId="0" applyFill="1" applyBorder="1"/>
    <xf numFmtId="14" fontId="0" fillId="6" borderId="6" xfId="0" applyNumberFormat="1" applyFill="1" applyBorder="1"/>
    <xf numFmtId="0" fontId="0" fillId="6" borderId="7" xfId="0" applyFill="1" applyBorder="1"/>
    <xf numFmtId="0" fontId="0" fillId="6" borderId="8" xfId="0" applyFill="1" applyBorder="1"/>
    <xf numFmtId="164" fontId="0" fillId="6" borderId="8" xfId="0" applyNumberFormat="1" applyFill="1" applyBorder="1"/>
    <xf numFmtId="14" fontId="0" fillId="6" borderId="9" xfId="0" applyNumberFormat="1" applyFill="1" applyBorder="1"/>
    <xf numFmtId="0" fontId="2" fillId="9" borderId="0" xfId="0" applyFont="1" applyFill="1" applyAlignment="1">
      <alignment horizontal="center"/>
    </xf>
    <xf numFmtId="0" fontId="3" fillId="0" borderId="0" xfId="0" applyFont="1"/>
    <xf numFmtId="0" fontId="0" fillId="0" borderId="0" xfId="0"/>
    <xf numFmtId="0" fontId="0" fillId="0" borderId="1" xfId="0" applyBorder="1"/>
    <xf numFmtId="0" fontId="5" fillId="9" borderId="1" xfId="0" applyFont="1" applyFill="1" applyBorder="1" applyAlignment="1"/>
    <xf numFmtId="0" fontId="7" fillId="4" borderId="1" xfId="0" applyFont="1" applyFill="1" applyBorder="1"/>
    <xf numFmtId="9" fontId="0" fillId="6" borderId="1" xfId="1" applyFont="1" applyFill="1" applyBorder="1"/>
    <xf numFmtId="0" fontId="0" fillId="0" borderId="0" xfId="0" applyBorder="1"/>
    <xf numFmtId="0" fontId="5" fillId="9" borderId="10" xfId="0" applyFont="1" applyFill="1" applyBorder="1" applyAlignment="1"/>
    <xf numFmtId="0" fontId="7" fillId="4" borderId="12" xfId="0" applyFont="1" applyFill="1" applyBorder="1"/>
    <xf numFmtId="0" fontId="5" fillId="0" borderId="0" xfId="0" applyFont="1" applyBorder="1" applyAlignment="1"/>
    <xf numFmtId="0" fontId="5" fillId="9" borderId="13" xfId="0" applyFont="1" applyFill="1" applyBorder="1" applyAlignment="1"/>
    <xf numFmtId="0" fontId="0" fillId="0" borderId="14" xfId="0" applyBorder="1"/>
    <xf numFmtId="0" fontId="4" fillId="0" borderId="0" xfId="0" applyFont="1"/>
    <xf numFmtId="0" fontId="2" fillId="4" borderId="1" xfId="0" applyFont="1" applyFill="1" applyBorder="1"/>
    <xf numFmtId="0" fontId="0" fillId="0" borderId="0" xfId="0" applyBorder="1" applyAlignment="1">
      <alignment horizontal="center"/>
    </xf>
    <xf numFmtId="0" fontId="0" fillId="0" borderId="15" xfId="0" applyBorder="1"/>
    <xf numFmtId="0" fontId="8" fillId="9" borderId="11" xfId="0" applyFont="1" applyFill="1" applyBorder="1"/>
    <xf numFmtId="0" fontId="5" fillId="9" borderId="14" xfId="0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0" fillId="6" borderId="6" xfId="0" applyFill="1" applyBorder="1"/>
    <xf numFmtId="0" fontId="0" fillId="0" borderId="5" xfId="0" applyBorder="1"/>
    <xf numFmtId="0" fontId="0" fillId="0" borderId="6" xfId="0" applyBorder="1"/>
    <xf numFmtId="0" fontId="2" fillId="4" borderId="5" xfId="0" applyFont="1" applyFill="1" applyBorder="1"/>
    <xf numFmtId="0" fontId="0" fillId="2" borderId="6" xfId="0" applyFill="1" applyBorder="1"/>
    <xf numFmtId="0" fontId="0" fillId="4" borderId="6" xfId="0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3" fillId="2" borderId="1" xfId="0" applyFont="1" applyFill="1" applyBorder="1"/>
    <xf numFmtId="0" fontId="0" fillId="11" borderId="1" xfId="0" applyFill="1" applyBorder="1"/>
    <xf numFmtId="0" fontId="11" fillId="2" borderId="1" xfId="0" applyFont="1" applyFill="1" applyBorder="1"/>
    <xf numFmtId="0" fontId="2" fillId="6" borderId="1" xfId="0" applyFont="1" applyFill="1" applyBorder="1"/>
    <xf numFmtId="0" fontId="0" fillId="0" borderId="0" xfId="0" applyAlignment="1">
      <alignment wrapText="1"/>
    </xf>
    <xf numFmtId="0" fontId="0" fillId="0" borderId="0" xfId="0"/>
    <xf numFmtId="0" fontId="0" fillId="0" borderId="1" xfId="0" applyBorder="1"/>
    <xf numFmtId="0" fontId="0" fillId="0" borderId="0" xfId="0"/>
    <xf numFmtId="0" fontId="0" fillId="0" borderId="1" xfId="0" applyBorder="1"/>
    <xf numFmtId="0" fontId="4" fillId="9" borderId="0" xfId="0" applyFont="1" applyFill="1"/>
    <xf numFmtId="0" fontId="4" fillId="9" borderId="1" xfId="0" applyFont="1" applyFill="1" applyBorder="1"/>
    <xf numFmtId="0" fontId="6" fillId="10" borderId="1" xfId="0" applyFont="1" applyFill="1" applyBorder="1" applyAlignment="1">
      <alignment horizontal="center"/>
    </xf>
    <xf numFmtId="0" fontId="7" fillId="11" borderId="1" xfId="0" applyFont="1" applyFill="1" applyBorder="1"/>
    <xf numFmtId="0" fontId="2" fillId="10" borderId="1" xfId="0" applyFont="1" applyFill="1" applyBorder="1"/>
    <xf numFmtId="0" fontId="0" fillId="0" borderId="1" xfId="0" applyBorder="1"/>
    <xf numFmtId="0" fontId="2" fillId="5" borderId="12" xfId="0" applyFont="1" applyFill="1" applyBorder="1"/>
    <xf numFmtId="0" fontId="2" fillId="5" borderId="12" xfId="0" applyFont="1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10" fillId="9" borderId="0" xfId="0" applyFont="1" applyFill="1"/>
    <xf numFmtId="0" fontId="2" fillId="9" borderId="0" xfId="0" applyFont="1" applyFill="1"/>
    <xf numFmtId="0" fontId="0" fillId="14" borderId="1" xfId="0" applyFill="1" applyBorder="1"/>
    <xf numFmtId="0" fontId="0" fillId="14" borderId="1" xfId="0" applyFont="1" applyFill="1" applyBorder="1"/>
    <xf numFmtId="0" fontId="0" fillId="12" borderId="1" xfId="0" applyFill="1" applyBorder="1"/>
    <xf numFmtId="0" fontId="9" fillId="7" borderId="0" xfId="0" applyFont="1" applyFill="1"/>
    <xf numFmtId="0" fontId="2" fillId="7" borderId="0" xfId="0" applyFont="1" applyFill="1"/>
    <xf numFmtId="0" fontId="0" fillId="13" borderId="1" xfId="0" applyFill="1" applyBorder="1"/>
    <xf numFmtId="0" fontId="2" fillId="7" borderId="1" xfId="0" applyFont="1" applyFill="1" applyBorder="1"/>
    <xf numFmtId="0" fontId="9" fillId="9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4" fillId="9" borderId="0" xfId="0" applyFont="1" applyFill="1" applyAlignment="1">
      <alignment horizontal="center"/>
    </xf>
    <xf numFmtId="0" fontId="6" fillId="7" borderId="13" xfId="0" applyFont="1" applyFill="1" applyBorder="1" applyAlignment="1">
      <alignment horizontal="center"/>
    </xf>
    <xf numFmtId="0" fontId="6" fillId="7" borderId="19" xfId="0" applyFont="1" applyFill="1" applyBorder="1" applyAlignment="1">
      <alignment horizontal="center"/>
    </xf>
    <xf numFmtId="0" fontId="6" fillId="7" borderId="10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8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ont>
        <color theme="6" tint="-0.24994659260841701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J23"/>
  <sheetViews>
    <sheetView workbookViewId="0">
      <selection activeCell="D3" sqref="D3"/>
    </sheetView>
  </sheetViews>
  <sheetFormatPr defaultRowHeight="15"/>
  <cols>
    <col min="3" max="3" width="18" customWidth="1"/>
    <col min="4" max="4" width="26.5703125" customWidth="1"/>
    <col min="5" max="5" width="13.28515625" customWidth="1"/>
    <col min="6" max="6" width="10.7109375" bestFit="1" customWidth="1"/>
    <col min="7" max="7" width="12.85546875" customWidth="1"/>
  </cols>
  <sheetData>
    <row r="1" spans="3:10">
      <c r="D1" s="20" t="s">
        <v>50</v>
      </c>
    </row>
    <row r="2" spans="3:10" ht="15.75" thickBot="1"/>
    <row r="3" spans="3:10">
      <c r="C3" s="11" t="s">
        <v>41</v>
      </c>
      <c r="D3" s="12" t="s">
        <v>40</v>
      </c>
      <c r="E3" s="12" t="s">
        <v>42</v>
      </c>
      <c r="F3" s="12" t="s">
        <v>43</v>
      </c>
      <c r="G3" s="13" t="s">
        <v>44</v>
      </c>
    </row>
    <row r="4" spans="3:10">
      <c r="C4" s="14" t="s">
        <v>0</v>
      </c>
      <c r="D4" s="5" t="s">
        <v>1</v>
      </c>
      <c r="E4" s="5" t="str">
        <f ca="1">CHOOSE(RANDBETWEEN(1,5),$J$4,$J$5,$J$6,$J$7,$J$8)</f>
        <v>Sales</v>
      </c>
      <c r="F4" s="6">
        <f ca="1">RANDBETWEEN(25,65)*1000</f>
        <v>46000</v>
      </c>
      <c r="G4" s="15">
        <f ca="1">RANDBETWEEN(DATE(2025,1,1),DATE(2027,2,1))</f>
        <v>46376</v>
      </c>
      <c r="J4" s="2" t="s">
        <v>45</v>
      </c>
    </row>
    <row r="5" spans="3:10">
      <c r="C5" s="14" t="s">
        <v>2</v>
      </c>
      <c r="D5" s="5" t="s">
        <v>3</v>
      </c>
      <c r="E5" s="5" t="str">
        <f t="shared" ref="E5:E23" ca="1" si="0">CHOOSE(RANDBETWEEN(1,5),$J$4,$J$5,$J$6,$J$7,$J$8)</f>
        <v>Sales</v>
      </c>
      <c r="F5" s="6">
        <f t="shared" ref="F5:F23" ca="1" si="1">RANDBETWEEN(25,65)*1000</f>
        <v>56000</v>
      </c>
      <c r="G5" s="15">
        <f t="shared" ref="G5:G23" ca="1" si="2">RANDBETWEEN(DATE(2025,1,1),DATE(2026,2,1))</f>
        <v>45783</v>
      </c>
      <c r="J5" s="2" t="s">
        <v>46</v>
      </c>
    </row>
    <row r="6" spans="3:10">
      <c r="C6" s="14" t="s">
        <v>4</v>
      </c>
      <c r="D6" s="5" t="s">
        <v>5</v>
      </c>
      <c r="E6" s="5" t="str">
        <f t="shared" ca="1" si="0"/>
        <v>HR</v>
      </c>
      <c r="F6" s="6">
        <f t="shared" ca="1" si="1"/>
        <v>54000</v>
      </c>
      <c r="G6" s="15">
        <f t="shared" ca="1" si="2"/>
        <v>45953</v>
      </c>
      <c r="J6" s="1" t="s">
        <v>47</v>
      </c>
    </row>
    <row r="7" spans="3:10">
      <c r="C7" s="14" t="s">
        <v>6</v>
      </c>
      <c r="D7" s="5" t="s">
        <v>7</v>
      </c>
      <c r="E7" s="5" t="str">
        <f t="shared" ca="1" si="0"/>
        <v>Marketing</v>
      </c>
      <c r="F7" s="6">
        <f t="shared" ca="1" si="1"/>
        <v>35000</v>
      </c>
      <c r="G7" s="15">
        <f t="shared" ca="1" si="2"/>
        <v>45763</v>
      </c>
      <c r="J7" s="1" t="s">
        <v>48</v>
      </c>
    </row>
    <row r="8" spans="3:10">
      <c r="C8" s="14" t="s">
        <v>8</v>
      </c>
      <c r="D8" s="5" t="s">
        <v>9</v>
      </c>
      <c r="E8" s="5" t="str">
        <f t="shared" ca="1" si="0"/>
        <v>Marketing</v>
      </c>
      <c r="F8" s="6">
        <f t="shared" ca="1" si="1"/>
        <v>56000</v>
      </c>
      <c r="G8" s="15">
        <f t="shared" ca="1" si="2"/>
        <v>45931</v>
      </c>
      <c r="J8" s="1" t="s">
        <v>49</v>
      </c>
    </row>
    <row r="9" spans="3:10">
      <c r="C9" s="14" t="s">
        <v>10</v>
      </c>
      <c r="D9" s="5" t="s">
        <v>11</v>
      </c>
      <c r="E9" s="5" t="str">
        <f t="shared" ca="1" si="0"/>
        <v>Sales</v>
      </c>
      <c r="F9" s="6">
        <f t="shared" ca="1" si="1"/>
        <v>29000</v>
      </c>
      <c r="G9" s="15">
        <f t="shared" ca="1" si="2"/>
        <v>45924</v>
      </c>
    </row>
    <row r="10" spans="3:10">
      <c r="C10" s="14" t="s">
        <v>12</v>
      </c>
      <c r="D10" s="5" t="s">
        <v>13</v>
      </c>
      <c r="E10" s="5" t="str">
        <f t="shared" ca="1" si="0"/>
        <v>Sales</v>
      </c>
      <c r="F10" s="6">
        <f t="shared" ca="1" si="1"/>
        <v>47000</v>
      </c>
      <c r="G10" s="15">
        <f t="shared" ca="1" si="2"/>
        <v>45822</v>
      </c>
    </row>
    <row r="11" spans="3:10">
      <c r="C11" s="14" t="s">
        <v>14</v>
      </c>
      <c r="D11" s="5" t="s">
        <v>15</v>
      </c>
      <c r="E11" s="5" t="str">
        <f t="shared" ca="1" si="0"/>
        <v>Marketing</v>
      </c>
      <c r="F11" s="6">
        <f t="shared" ca="1" si="1"/>
        <v>26000</v>
      </c>
      <c r="G11" s="15">
        <f t="shared" ca="1" si="2"/>
        <v>45774</v>
      </c>
    </row>
    <row r="12" spans="3:10">
      <c r="C12" s="14" t="s">
        <v>16</v>
      </c>
      <c r="D12" s="5" t="s">
        <v>17</v>
      </c>
      <c r="E12" s="5" t="str">
        <f t="shared" ca="1" si="0"/>
        <v>Sales</v>
      </c>
      <c r="F12" s="6">
        <f t="shared" ca="1" si="1"/>
        <v>51000</v>
      </c>
      <c r="G12" s="15">
        <f t="shared" ca="1" si="2"/>
        <v>45791</v>
      </c>
    </row>
    <row r="13" spans="3:10">
      <c r="C13" s="14" t="s">
        <v>18</v>
      </c>
      <c r="D13" s="5" t="s">
        <v>19</v>
      </c>
      <c r="E13" s="5" t="str">
        <f t="shared" ca="1" si="0"/>
        <v>IT</v>
      </c>
      <c r="F13" s="6">
        <f t="shared" ca="1" si="1"/>
        <v>38000</v>
      </c>
      <c r="G13" s="15">
        <f t="shared" ca="1" si="2"/>
        <v>45733</v>
      </c>
    </row>
    <row r="14" spans="3:10">
      <c r="C14" s="14" t="s">
        <v>20</v>
      </c>
      <c r="D14" s="5" t="s">
        <v>21</v>
      </c>
      <c r="E14" s="5" t="str">
        <f t="shared" ca="1" si="0"/>
        <v>HR</v>
      </c>
      <c r="F14" s="6">
        <f t="shared" ca="1" si="1"/>
        <v>39000</v>
      </c>
      <c r="G14" s="15">
        <f t="shared" ca="1" si="2"/>
        <v>46021</v>
      </c>
    </row>
    <row r="15" spans="3:10">
      <c r="C15" s="14" t="s">
        <v>22</v>
      </c>
      <c r="D15" s="5" t="s">
        <v>23</v>
      </c>
      <c r="E15" s="5" t="str">
        <f t="shared" ca="1" si="0"/>
        <v>Finance</v>
      </c>
      <c r="F15" s="6">
        <f t="shared" ca="1" si="1"/>
        <v>38000</v>
      </c>
      <c r="G15" s="15">
        <f t="shared" ca="1" si="2"/>
        <v>45781</v>
      </c>
    </row>
    <row r="16" spans="3:10">
      <c r="C16" s="14" t="s">
        <v>24</v>
      </c>
      <c r="D16" s="5" t="s">
        <v>25</v>
      </c>
      <c r="E16" s="5" t="str">
        <f t="shared" ca="1" si="0"/>
        <v>HR</v>
      </c>
      <c r="F16" s="6">
        <f t="shared" ca="1" si="1"/>
        <v>30000</v>
      </c>
      <c r="G16" s="15">
        <f t="shared" ca="1" si="2"/>
        <v>46011</v>
      </c>
    </row>
    <row r="17" spans="3:7">
      <c r="C17" s="14" t="s">
        <v>26</v>
      </c>
      <c r="D17" s="5" t="s">
        <v>27</v>
      </c>
      <c r="E17" s="5" t="str">
        <f t="shared" ca="1" si="0"/>
        <v>IT</v>
      </c>
      <c r="F17" s="6">
        <f t="shared" ca="1" si="1"/>
        <v>54000</v>
      </c>
      <c r="G17" s="15">
        <f t="shared" ca="1" si="2"/>
        <v>45933</v>
      </c>
    </row>
    <row r="18" spans="3:7">
      <c r="C18" s="14" t="s">
        <v>28</v>
      </c>
      <c r="D18" s="5" t="s">
        <v>29</v>
      </c>
      <c r="E18" s="5" t="str">
        <f t="shared" ca="1" si="0"/>
        <v>Finance</v>
      </c>
      <c r="F18" s="6">
        <f t="shared" ca="1" si="1"/>
        <v>31000</v>
      </c>
      <c r="G18" s="15">
        <f t="shared" ca="1" si="2"/>
        <v>45731</v>
      </c>
    </row>
    <row r="19" spans="3:7">
      <c r="C19" s="14" t="s">
        <v>30</v>
      </c>
      <c r="D19" s="5" t="s">
        <v>31</v>
      </c>
      <c r="E19" s="5" t="str">
        <f t="shared" ca="1" si="0"/>
        <v>Finance</v>
      </c>
      <c r="F19" s="6">
        <f t="shared" ca="1" si="1"/>
        <v>39000</v>
      </c>
      <c r="G19" s="15">
        <f t="shared" ca="1" si="2"/>
        <v>45764</v>
      </c>
    </row>
    <row r="20" spans="3:7">
      <c r="C20" s="14" t="s">
        <v>32</v>
      </c>
      <c r="D20" s="5" t="s">
        <v>33</v>
      </c>
      <c r="E20" s="5" t="str">
        <f t="shared" ca="1" si="0"/>
        <v>Marketing</v>
      </c>
      <c r="F20" s="6">
        <f t="shared" ca="1" si="1"/>
        <v>63000</v>
      </c>
      <c r="G20" s="15">
        <f t="shared" ca="1" si="2"/>
        <v>45984</v>
      </c>
    </row>
    <row r="21" spans="3:7">
      <c r="C21" s="14" t="s">
        <v>34</v>
      </c>
      <c r="D21" s="5" t="s">
        <v>35</v>
      </c>
      <c r="E21" s="5" t="str">
        <f t="shared" ca="1" si="0"/>
        <v>Finance</v>
      </c>
      <c r="F21" s="6">
        <f t="shared" ca="1" si="1"/>
        <v>46000</v>
      </c>
      <c r="G21" s="15">
        <f t="shared" ca="1" si="2"/>
        <v>45877</v>
      </c>
    </row>
    <row r="22" spans="3:7">
      <c r="C22" s="14" t="s">
        <v>36</v>
      </c>
      <c r="D22" s="5" t="s">
        <v>37</v>
      </c>
      <c r="E22" s="5" t="str">
        <f t="shared" ca="1" si="0"/>
        <v>Marketing</v>
      </c>
      <c r="F22" s="6">
        <f t="shared" ca="1" si="1"/>
        <v>64000</v>
      </c>
      <c r="G22" s="15">
        <f t="shared" ca="1" si="2"/>
        <v>45849</v>
      </c>
    </row>
    <row r="23" spans="3:7" ht="15.75" thickBot="1">
      <c r="C23" s="16" t="s">
        <v>38</v>
      </c>
      <c r="D23" s="17" t="s">
        <v>39</v>
      </c>
      <c r="E23" s="17" t="str">
        <f t="shared" ca="1" si="0"/>
        <v>Marketing</v>
      </c>
      <c r="F23" s="18">
        <f t="shared" ca="1" si="1"/>
        <v>58000</v>
      </c>
      <c r="G23" s="19">
        <f t="shared" ca="1" si="2"/>
        <v>45754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3:J28"/>
  <sheetViews>
    <sheetView workbookViewId="0">
      <selection activeCell="C25" sqref="C25"/>
    </sheetView>
  </sheetViews>
  <sheetFormatPr defaultRowHeight="15"/>
  <cols>
    <col min="5" max="5" width="16.7109375" customWidth="1"/>
    <col min="7" max="7" width="16.42578125" customWidth="1"/>
    <col min="8" max="8" width="12" customWidth="1"/>
    <col min="9" max="9" width="0.42578125" customWidth="1"/>
  </cols>
  <sheetData>
    <row r="3" spans="2:10" ht="23.25">
      <c r="E3" s="78" t="s">
        <v>237</v>
      </c>
      <c r="F3" s="78"/>
      <c r="G3" s="78"/>
      <c r="H3" s="78"/>
      <c r="I3" s="78"/>
    </row>
    <row r="4" spans="2:10">
      <c r="E4" s="67" t="s">
        <v>51</v>
      </c>
      <c r="F4" s="66" t="s">
        <v>52</v>
      </c>
      <c r="G4" s="66" t="s">
        <v>53</v>
      </c>
      <c r="H4" s="66" t="s">
        <v>259</v>
      </c>
      <c r="I4" s="58"/>
      <c r="J4" s="58"/>
    </row>
    <row r="5" spans="2:10">
      <c r="B5" s="55"/>
      <c r="E5" s="68" t="s">
        <v>238</v>
      </c>
      <c r="F5" s="5" t="s">
        <v>55</v>
      </c>
      <c r="G5" s="6">
        <f ca="1">RANDBETWEEN(25,70)*1000</f>
        <v>66000</v>
      </c>
      <c r="H5" s="5" t="s">
        <v>185</v>
      </c>
    </row>
    <row r="6" spans="2:10">
      <c r="E6" s="68" t="s">
        <v>239</v>
      </c>
      <c r="F6" s="5" t="s">
        <v>56</v>
      </c>
      <c r="G6" s="6">
        <f t="shared" ref="G6:G28" ca="1" si="0">RANDBETWEEN(25,70)*1000</f>
        <v>57000</v>
      </c>
      <c r="H6" s="5" t="s">
        <v>140</v>
      </c>
    </row>
    <row r="7" spans="2:10">
      <c r="E7" s="68" t="s">
        <v>221</v>
      </c>
      <c r="F7" s="5" t="s">
        <v>57</v>
      </c>
      <c r="G7" s="6">
        <f t="shared" ca="1" si="0"/>
        <v>46000</v>
      </c>
      <c r="H7" s="5" t="s">
        <v>186</v>
      </c>
    </row>
    <row r="8" spans="2:10">
      <c r="E8" s="68" t="s">
        <v>240</v>
      </c>
      <c r="F8" s="5" t="s">
        <v>54</v>
      </c>
      <c r="G8" s="6">
        <f t="shared" ca="1" si="0"/>
        <v>53000</v>
      </c>
      <c r="H8" s="5" t="s">
        <v>187</v>
      </c>
    </row>
    <row r="9" spans="2:10">
      <c r="E9" s="68" t="s">
        <v>241</v>
      </c>
      <c r="F9" s="5" t="s">
        <v>55</v>
      </c>
      <c r="G9" s="6">
        <f t="shared" ca="1" si="0"/>
        <v>50000</v>
      </c>
      <c r="H9" s="5" t="s">
        <v>188</v>
      </c>
    </row>
    <row r="10" spans="2:10">
      <c r="E10" s="68" t="s">
        <v>242</v>
      </c>
      <c r="F10" s="5" t="s">
        <v>56</v>
      </c>
      <c r="G10" s="6">
        <f t="shared" ca="1" si="0"/>
        <v>68000</v>
      </c>
      <c r="H10" s="5" t="s">
        <v>126</v>
      </c>
    </row>
    <row r="11" spans="2:10">
      <c r="E11" s="68" t="s">
        <v>243</v>
      </c>
      <c r="F11" s="5" t="s">
        <v>57</v>
      </c>
      <c r="G11" s="6">
        <f t="shared" ca="1" si="0"/>
        <v>47000</v>
      </c>
      <c r="H11" s="5" t="s">
        <v>189</v>
      </c>
    </row>
    <row r="12" spans="2:10">
      <c r="E12" s="68" t="s">
        <v>244</v>
      </c>
      <c r="F12" s="5" t="s">
        <v>54</v>
      </c>
      <c r="G12" s="6">
        <f t="shared" ca="1" si="0"/>
        <v>35000</v>
      </c>
      <c r="H12" s="5" t="s">
        <v>190</v>
      </c>
    </row>
    <row r="13" spans="2:10">
      <c r="E13" s="68" t="s">
        <v>245</v>
      </c>
      <c r="F13" s="5" t="s">
        <v>55</v>
      </c>
      <c r="G13" s="6">
        <f t="shared" ca="1" si="0"/>
        <v>62000</v>
      </c>
      <c r="H13" s="5" t="s">
        <v>60</v>
      </c>
    </row>
    <row r="14" spans="2:10">
      <c r="E14" s="68" t="s">
        <v>246</v>
      </c>
      <c r="F14" s="5" t="s">
        <v>56</v>
      </c>
      <c r="G14" s="6">
        <f t="shared" ca="1" si="0"/>
        <v>38000</v>
      </c>
      <c r="H14" s="5" t="s">
        <v>191</v>
      </c>
    </row>
    <row r="15" spans="2:10">
      <c r="E15" s="68" t="s">
        <v>247</v>
      </c>
      <c r="F15" s="5" t="s">
        <v>57</v>
      </c>
      <c r="G15" s="6">
        <f t="shared" ca="1" si="0"/>
        <v>67000</v>
      </c>
      <c r="H15" s="5" t="s">
        <v>144</v>
      </c>
    </row>
    <row r="16" spans="2:10">
      <c r="E16" s="68" t="s">
        <v>248</v>
      </c>
      <c r="F16" s="5" t="s">
        <v>54</v>
      </c>
      <c r="G16" s="6">
        <f t="shared" ca="1" si="0"/>
        <v>57000</v>
      </c>
      <c r="H16" s="5" t="s">
        <v>192</v>
      </c>
    </row>
    <row r="17" spans="5:8">
      <c r="E17" s="68" t="s">
        <v>231</v>
      </c>
      <c r="F17" s="5" t="s">
        <v>55</v>
      </c>
      <c r="G17" s="6">
        <f t="shared" ca="1" si="0"/>
        <v>62000</v>
      </c>
      <c r="H17" s="5" t="s">
        <v>193</v>
      </c>
    </row>
    <row r="18" spans="5:8">
      <c r="E18" s="68" t="s">
        <v>249</v>
      </c>
      <c r="F18" s="5" t="s">
        <v>56</v>
      </c>
      <c r="G18" s="6">
        <f t="shared" ca="1" si="0"/>
        <v>33000</v>
      </c>
      <c r="H18" s="5" t="s">
        <v>194</v>
      </c>
    </row>
    <row r="19" spans="5:8">
      <c r="E19" s="68" t="s">
        <v>250</v>
      </c>
      <c r="F19" s="5" t="s">
        <v>57</v>
      </c>
      <c r="G19" s="6">
        <f t="shared" ca="1" si="0"/>
        <v>62000</v>
      </c>
      <c r="H19" s="5" t="s">
        <v>150</v>
      </c>
    </row>
    <row r="20" spans="5:8">
      <c r="E20" s="68" t="s">
        <v>251</v>
      </c>
      <c r="F20" s="5" t="s">
        <v>54</v>
      </c>
      <c r="G20" s="6">
        <f t="shared" ca="1" si="0"/>
        <v>47000</v>
      </c>
      <c r="H20" s="5" t="s">
        <v>195</v>
      </c>
    </row>
    <row r="21" spans="5:8">
      <c r="E21" s="68" t="s">
        <v>252</v>
      </c>
      <c r="F21" s="5" t="s">
        <v>55</v>
      </c>
      <c r="G21" s="6">
        <f t="shared" ca="1" si="0"/>
        <v>39000</v>
      </c>
      <c r="H21" s="5" t="s">
        <v>196</v>
      </c>
    </row>
    <row r="22" spans="5:8">
      <c r="E22" s="68" t="s">
        <v>253</v>
      </c>
      <c r="F22" s="5" t="s">
        <v>56</v>
      </c>
      <c r="G22" s="6">
        <f t="shared" ca="1" si="0"/>
        <v>46000</v>
      </c>
      <c r="H22" s="5" t="s">
        <v>197</v>
      </c>
    </row>
    <row r="23" spans="5:8">
      <c r="E23" s="68" t="s">
        <v>254</v>
      </c>
      <c r="F23" s="5" t="s">
        <v>57</v>
      </c>
      <c r="G23" s="6">
        <f t="shared" ca="1" si="0"/>
        <v>41000</v>
      </c>
      <c r="H23" s="5" t="s">
        <v>198</v>
      </c>
    </row>
    <row r="24" spans="5:8">
      <c r="E24" s="68" t="s">
        <v>255</v>
      </c>
      <c r="F24" s="5" t="s">
        <v>54</v>
      </c>
      <c r="G24" s="6">
        <f t="shared" ca="1" si="0"/>
        <v>50000</v>
      </c>
      <c r="H24" s="5" t="s">
        <v>123</v>
      </c>
    </row>
    <row r="25" spans="5:8">
      <c r="E25" s="68" t="s">
        <v>256</v>
      </c>
      <c r="F25" s="5" t="s">
        <v>55</v>
      </c>
      <c r="G25" s="6">
        <f t="shared" ca="1" si="0"/>
        <v>43000</v>
      </c>
      <c r="H25" s="5" t="s">
        <v>260</v>
      </c>
    </row>
    <row r="26" spans="5:8">
      <c r="E26" s="68" t="s">
        <v>257</v>
      </c>
      <c r="F26" s="5" t="s">
        <v>56</v>
      </c>
      <c r="G26" s="6">
        <f t="shared" ca="1" si="0"/>
        <v>57000</v>
      </c>
      <c r="H26" s="5" t="s">
        <v>261</v>
      </c>
    </row>
    <row r="27" spans="5:8">
      <c r="E27" s="68" t="s">
        <v>226</v>
      </c>
      <c r="F27" s="5" t="s">
        <v>57</v>
      </c>
      <c r="G27" s="6">
        <f t="shared" ca="1" si="0"/>
        <v>46000</v>
      </c>
      <c r="H27" s="5" t="s">
        <v>262</v>
      </c>
    </row>
    <row r="28" spans="5:8">
      <c r="E28" s="68" t="s">
        <v>258</v>
      </c>
      <c r="F28" s="5" t="s">
        <v>54</v>
      </c>
      <c r="G28" s="6">
        <f t="shared" ca="1" si="0"/>
        <v>41000</v>
      </c>
      <c r="H28" s="5" t="s">
        <v>197</v>
      </c>
    </row>
  </sheetData>
  <mergeCells count="1">
    <mergeCell ref="E3:I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D1:K24"/>
  <sheetViews>
    <sheetView workbookViewId="0">
      <selection activeCell="C25" sqref="C25:C26"/>
    </sheetView>
  </sheetViews>
  <sheetFormatPr defaultRowHeight="15"/>
  <cols>
    <col min="7" max="7" width="18.140625" customWidth="1"/>
    <col min="8" max="8" width="12" customWidth="1"/>
    <col min="9" max="9" width="13.140625" customWidth="1"/>
    <col min="10" max="10" width="11.28515625" customWidth="1"/>
    <col min="11" max="11" width="12.7109375" customWidth="1"/>
  </cols>
  <sheetData>
    <row r="1" spans="4:11">
      <c r="E1" s="27"/>
    </row>
    <row r="2" spans="4:11" ht="26.25">
      <c r="E2" s="27"/>
      <c r="F2" s="32"/>
      <c r="G2" s="30"/>
      <c r="H2" s="28" t="s">
        <v>58</v>
      </c>
      <c r="I2" s="24"/>
      <c r="J2" s="31"/>
      <c r="K2" s="27"/>
    </row>
    <row r="3" spans="4:11" ht="15.75">
      <c r="E3" s="27"/>
      <c r="F3" s="25" t="s">
        <v>59</v>
      </c>
      <c r="G3" s="25" t="s">
        <v>80</v>
      </c>
      <c r="H3" s="25" t="s">
        <v>81</v>
      </c>
      <c r="I3" s="25" t="s">
        <v>82</v>
      </c>
      <c r="J3" s="25" t="s">
        <v>83</v>
      </c>
      <c r="K3" s="29" t="s">
        <v>84</v>
      </c>
    </row>
    <row r="4" spans="4:11">
      <c r="E4" s="27"/>
      <c r="F4" s="5">
        <v>1</v>
      </c>
      <c r="G4" s="5" t="s">
        <v>60</v>
      </c>
      <c r="H4" s="5">
        <v>54</v>
      </c>
      <c r="I4" s="5">
        <v>60</v>
      </c>
      <c r="J4" s="5">
        <v>54</v>
      </c>
      <c r="K4" s="26">
        <f>AVERAGE(H4:J4)/100</f>
        <v>0.56000000000000005</v>
      </c>
    </row>
    <row r="5" spans="4:11">
      <c r="E5" s="27"/>
      <c r="F5" s="5">
        <v>2</v>
      </c>
      <c r="G5" s="5" t="s">
        <v>61</v>
      </c>
      <c r="H5" s="5">
        <v>62</v>
      </c>
      <c r="I5" s="5">
        <v>48</v>
      </c>
      <c r="J5" s="5">
        <v>56</v>
      </c>
      <c r="K5" s="26">
        <f t="shared" ref="K5:K23" si="0">AVERAGE(H5:J5)/100</f>
        <v>0.55333333333333334</v>
      </c>
    </row>
    <row r="6" spans="4:11">
      <c r="E6" s="27"/>
      <c r="F6" s="5">
        <v>3</v>
      </c>
      <c r="G6" s="5" t="s">
        <v>62</v>
      </c>
      <c r="H6" s="5">
        <v>92</v>
      </c>
      <c r="I6" s="5">
        <v>64</v>
      </c>
      <c r="J6" s="5">
        <v>58</v>
      </c>
      <c r="K6" s="26">
        <f t="shared" si="0"/>
        <v>0.71333333333333326</v>
      </c>
    </row>
    <row r="7" spans="4:11">
      <c r="E7" s="27"/>
      <c r="F7" s="5">
        <v>4</v>
      </c>
      <c r="G7" s="5" t="s">
        <v>63</v>
      </c>
      <c r="H7" s="5">
        <v>97</v>
      </c>
      <c r="I7" s="5">
        <v>75</v>
      </c>
      <c r="J7" s="5">
        <v>55</v>
      </c>
      <c r="K7" s="26">
        <f t="shared" si="0"/>
        <v>0.75666666666666671</v>
      </c>
    </row>
    <row r="8" spans="4:11">
      <c r="E8" s="27"/>
      <c r="F8" s="5">
        <v>5</v>
      </c>
      <c r="G8" s="5" t="s">
        <v>64</v>
      </c>
      <c r="H8" s="5">
        <v>45</v>
      </c>
      <c r="I8" s="5">
        <v>67</v>
      </c>
      <c r="J8" s="5">
        <v>61</v>
      </c>
      <c r="K8" s="26">
        <f t="shared" si="0"/>
        <v>0.57666666666666666</v>
      </c>
    </row>
    <row r="9" spans="4:11">
      <c r="E9" s="27"/>
      <c r="F9" s="5">
        <v>6</v>
      </c>
      <c r="G9" s="5" t="s">
        <v>65</v>
      </c>
      <c r="H9" s="5">
        <v>58</v>
      </c>
      <c r="I9" s="5">
        <v>47</v>
      </c>
      <c r="J9" s="5">
        <v>67</v>
      </c>
      <c r="K9" s="26">
        <f t="shared" si="0"/>
        <v>0.57333333333333336</v>
      </c>
    </row>
    <row r="10" spans="4:11">
      <c r="E10" s="27"/>
      <c r="F10" s="5">
        <v>7</v>
      </c>
      <c r="G10" s="5" t="s">
        <v>66</v>
      </c>
      <c r="H10" s="5">
        <v>74</v>
      </c>
      <c r="I10" s="5">
        <v>81</v>
      </c>
      <c r="J10" s="5">
        <v>43</v>
      </c>
      <c r="K10" s="26">
        <f t="shared" si="0"/>
        <v>0.66</v>
      </c>
    </row>
    <row r="11" spans="4:11">
      <c r="E11" s="27"/>
      <c r="F11" s="5">
        <v>8</v>
      </c>
      <c r="G11" s="5" t="s">
        <v>67</v>
      </c>
      <c r="H11" s="5">
        <v>39</v>
      </c>
      <c r="I11" s="5">
        <v>55</v>
      </c>
      <c r="J11" s="5">
        <v>55</v>
      </c>
      <c r="K11" s="26">
        <f t="shared" si="0"/>
        <v>0.49666666666666665</v>
      </c>
    </row>
    <row r="12" spans="4:11">
      <c r="E12" s="27"/>
      <c r="F12" s="5">
        <v>9</v>
      </c>
      <c r="G12" s="5" t="s">
        <v>68</v>
      </c>
      <c r="H12" s="5">
        <v>59</v>
      </c>
      <c r="I12" s="5">
        <v>62</v>
      </c>
      <c r="J12" s="5">
        <v>69</v>
      </c>
      <c r="K12" s="26">
        <f t="shared" si="0"/>
        <v>0.6333333333333333</v>
      </c>
    </row>
    <row r="13" spans="4:11">
      <c r="D13" s="27"/>
      <c r="E13" s="27"/>
      <c r="F13" s="5">
        <v>10</v>
      </c>
      <c r="G13" s="5" t="s">
        <v>69</v>
      </c>
      <c r="H13" s="5">
        <v>73</v>
      </c>
      <c r="I13" s="5">
        <v>73</v>
      </c>
      <c r="J13" s="5">
        <v>66</v>
      </c>
      <c r="K13" s="26">
        <f t="shared" si="0"/>
        <v>0.70666666666666667</v>
      </c>
    </row>
    <row r="14" spans="4:11">
      <c r="D14" s="27"/>
      <c r="E14" s="27"/>
      <c r="F14" s="5">
        <v>11</v>
      </c>
      <c r="G14" s="5" t="s">
        <v>70</v>
      </c>
      <c r="H14" s="5">
        <v>52</v>
      </c>
      <c r="I14" s="5">
        <v>48</v>
      </c>
      <c r="J14" s="5">
        <v>66</v>
      </c>
      <c r="K14" s="26">
        <f t="shared" si="0"/>
        <v>0.55333333333333334</v>
      </c>
    </row>
    <row r="15" spans="4:11">
      <c r="D15" s="27"/>
      <c r="E15" s="27"/>
      <c r="F15" s="5">
        <v>12</v>
      </c>
      <c r="G15" s="5" t="s">
        <v>71</v>
      </c>
      <c r="H15" s="5">
        <v>52</v>
      </c>
      <c r="I15" s="5">
        <v>46</v>
      </c>
      <c r="J15" s="5">
        <v>55</v>
      </c>
      <c r="K15" s="26">
        <f t="shared" si="0"/>
        <v>0.51</v>
      </c>
    </row>
    <row r="16" spans="4:11">
      <c r="D16" s="27"/>
      <c r="E16" s="27"/>
      <c r="F16" s="5">
        <v>13</v>
      </c>
      <c r="G16" s="5" t="s">
        <v>72</v>
      </c>
      <c r="H16" s="5">
        <v>58</v>
      </c>
      <c r="I16" s="5">
        <v>80</v>
      </c>
      <c r="J16" s="5">
        <v>55</v>
      </c>
      <c r="K16" s="26">
        <f t="shared" si="0"/>
        <v>0.64333333333333331</v>
      </c>
    </row>
    <row r="17" spans="5:11">
      <c r="E17" s="27"/>
      <c r="F17" s="5">
        <v>14</v>
      </c>
      <c r="G17" s="5" t="s">
        <v>73</v>
      </c>
      <c r="H17" s="5">
        <v>83</v>
      </c>
      <c r="I17" s="5">
        <v>70</v>
      </c>
      <c r="J17" s="5">
        <v>40</v>
      </c>
      <c r="K17" s="26">
        <f t="shared" si="0"/>
        <v>0.64333333333333331</v>
      </c>
    </row>
    <row r="18" spans="5:11">
      <c r="E18" s="27"/>
      <c r="F18" s="5">
        <v>15</v>
      </c>
      <c r="G18" s="5" t="s">
        <v>74</v>
      </c>
      <c r="H18" s="5">
        <v>93</v>
      </c>
      <c r="I18" s="5">
        <v>79</v>
      </c>
      <c r="J18" s="5">
        <v>42</v>
      </c>
      <c r="K18" s="26">
        <f t="shared" si="0"/>
        <v>0.71333333333333326</v>
      </c>
    </row>
    <row r="19" spans="5:11">
      <c r="E19" s="27"/>
      <c r="F19" s="5">
        <v>16</v>
      </c>
      <c r="G19" s="5" t="s">
        <v>75</v>
      </c>
      <c r="H19" s="5">
        <v>35</v>
      </c>
      <c r="I19" s="5">
        <v>65</v>
      </c>
      <c r="J19" s="5">
        <v>50</v>
      </c>
      <c r="K19" s="26">
        <f t="shared" si="0"/>
        <v>0.5</v>
      </c>
    </row>
    <row r="20" spans="5:11">
      <c r="E20" s="27"/>
      <c r="F20" s="5">
        <v>17</v>
      </c>
      <c r="G20" s="5" t="s">
        <v>76</v>
      </c>
      <c r="H20" s="5">
        <v>91</v>
      </c>
      <c r="I20" s="5">
        <v>82</v>
      </c>
      <c r="J20" s="5">
        <v>52</v>
      </c>
      <c r="K20" s="26">
        <f t="shared" si="0"/>
        <v>0.75</v>
      </c>
    </row>
    <row r="21" spans="5:11">
      <c r="E21" s="27"/>
      <c r="F21" s="5">
        <v>18</v>
      </c>
      <c r="G21" s="5" t="s">
        <v>77</v>
      </c>
      <c r="H21" s="5">
        <v>64</v>
      </c>
      <c r="I21" s="5">
        <v>62</v>
      </c>
      <c r="J21" s="5">
        <v>49</v>
      </c>
      <c r="K21" s="26">
        <f t="shared" si="0"/>
        <v>0.58333333333333337</v>
      </c>
    </row>
    <row r="22" spans="5:11">
      <c r="E22" s="27"/>
      <c r="F22" s="5">
        <v>19</v>
      </c>
      <c r="G22" s="5" t="s">
        <v>78</v>
      </c>
      <c r="H22" s="5">
        <v>82</v>
      </c>
      <c r="I22" s="5">
        <v>73</v>
      </c>
      <c r="J22" s="5">
        <v>64</v>
      </c>
      <c r="K22" s="26">
        <f t="shared" si="0"/>
        <v>0.73</v>
      </c>
    </row>
    <row r="23" spans="5:11">
      <c r="E23" s="27"/>
      <c r="F23" s="5">
        <v>20</v>
      </c>
      <c r="G23" s="5" t="s">
        <v>79</v>
      </c>
      <c r="H23" s="5">
        <v>87</v>
      </c>
      <c r="I23" s="5">
        <v>70</v>
      </c>
      <c r="J23" s="5">
        <v>58</v>
      </c>
      <c r="K23" s="26">
        <f t="shared" si="0"/>
        <v>0.71666666666666667</v>
      </c>
    </row>
    <row r="24" spans="5:11">
      <c r="E24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F1:L27"/>
  <sheetViews>
    <sheetView zoomScale="70" zoomScaleNormal="70" workbookViewId="0">
      <selection activeCell="K17" sqref="K17"/>
    </sheetView>
  </sheetViews>
  <sheetFormatPr defaultRowHeight="15"/>
  <cols>
    <col min="6" max="6" width="13.5703125" customWidth="1"/>
    <col min="7" max="7" width="10.42578125" bestFit="1" customWidth="1"/>
    <col min="8" max="8" width="21.28515625" customWidth="1"/>
    <col min="11" max="11" width="17.42578125" customWidth="1"/>
  </cols>
  <sheetData>
    <row r="1" spans="6:12">
      <c r="G1" s="27"/>
      <c r="H1" s="27"/>
    </row>
    <row r="2" spans="6:12" ht="27" thickBot="1">
      <c r="F2" s="36"/>
      <c r="G2" s="37" t="s">
        <v>85</v>
      </c>
      <c r="H2" s="38"/>
      <c r="I2" s="35"/>
    </row>
    <row r="3" spans="6:12">
      <c r="F3" s="39" t="s">
        <v>86</v>
      </c>
      <c r="G3" s="40" t="s">
        <v>87</v>
      </c>
      <c r="H3" s="41" t="s">
        <v>53</v>
      </c>
      <c r="I3" s="22"/>
    </row>
    <row r="4" spans="6:12">
      <c r="F4" s="14" t="s">
        <v>88</v>
      </c>
      <c r="G4" s="7">
        <f ca="1">RANDBETWEEN(DATE(2026,1,1),DATE(2026,4,1))</f>
        <v>46027</v>
      </c>
      <c r="H4" s="42">
        <f ca="1">CHOOSE(RANDBETWEEN(1,5),30000,45000,60000,80000,98000)</f>
        <v>60000</v>
      </c>
    </row>
    <row r="5" spans="6:12">
      <c r="F5" s="14" t="s">
        <v>89</v>
      </c>
      <c r="G5" s="7">
        <f t="shared" ref="G5:G23" ca="1" si="0">RANDBETWEEN(DATE(2026,1,1),DATE(2026,4,1))</f>
        <v>46096</v>
      </c>
      <c r="H5" s="42">
        <f t="shared" ref="H5:H23" ca="1" si="1">CHOOSE(RANDBETWEEN(1,5),30000,45000,60000,80000,98000)</f>
        <v>60000</v>
      </c>
    </row>
    <row r="6" spans="6:12">
      <c r="F6" s="14" t="s">
        <v>90</v>
      </c>
      <c r="G6" s="7">
        <f t="shared" ca="1" si="0"/>
        <v>46045</v>
      </c>
      <c r="H6" s="42">
        <f t="shared" ca="1" si="1"/>
        <v>45000</v>
      </c>
    </row>
    <row r="7" spans="6:12">
      <c r="F7" s="14" t="s">
        <v>91</v>
      </c>
      <c r="G7" s="7">
        <f t="shared" ca="1" si="0"/>
        <v>46106</v>
      </c>
      <c r="H7" s="42">
        <f t="shared" ca="1" si="1"/>
        <v>60000</v>
      </c>
    </row>
    <row r="8" spans="6:12">
      <c r="F8" s="14" t="s">
        <v>92</v>
      </c>
      <c r="G8" s="7">
        <f t="shared" ca="1" si="0"/>
        <v>46049</v>
      </c>
      <c r="H8" s="42">
        <f t="shared" ca="1" si="1"/>
        <v>45000</v>
      </c>
      <c r="K8" s="22"/>
    </row>
    <row r="9" spans="6:12">
      <c r="F9" s="14" t="s">
        <v>93</v>
      </c>
      <c r="G9" s="7">
        <f t="shared" ca="1" si="0"/>
        <v>46089</v>
      </c>
      <c r="H9" s="42">
        <f t="shared" ca="1" si="1"/>
        <v>60000</v>
      </c>
    </row>
    <row r="10" spans="6:12">
      <c r="F10" s="14" t="s">
        <v>94</v>
      </c>
      <c r="G10" s="7">
        <f t="shared" ca="1" si="0"/>
        <v>46097</v>
      </c>
      <c r="H10" s="42">
        <f t="shared" ca="1" si="1"/>
        <v>30000</v>
      </c>
    </row>
    <row r="11" spans="6:12">
      <c r="F11" s="14" t="s">
        <v>95</v>
      </c>
      <c r="G11" s="7">
        <f t="shared" ca="1" si="0"/>
        <v>46112</v>
      </c>
      <c r="H11" s="42">
        <f t="shared" ca="1" si="1"/>
        <v>98000</v>
      </c>
    </row>
    <row r="12" spans="6:12" ht="21">
      <c r="F12" s="14" t="s">
        <v>96</v>
      </c>
      <c r="G12" s="7">
        <f t="shared" ca="1" si="0"/>
        <v>46074</v>
      </c>
      <c r="H12" s="42">
        <f t="shared" ca="1" si="1"/>
        <v>80000</v>
      </c>
      <c r="K12" s="51" t="s">
        <v>110</v>
      </c>
      <c r="L12" s="52">
        <f ca="1">MAX(H4:H23)</f>
        <v>98000</v>
      </c>
    </row>
    <row r="13" spans="6:12" ht="21">
      <c r="F13" s="14" t="s">
        <v>97</v>
      </c>
      <c r="G13" s="7">
        <f t="shared" ca="1" si="0"/>
        <v>46023</v>
      </c>
      <c r="H13" s="42">
        <f t="shared" ca="1" si="1"/>
        <v>98000</v>
      </c>
      <c r="K13" s="51"/>
      <c r="L13" s="52"/>
    </row>
    <row r="14" spans="6:12" ht="21">
      <c r="F14" s="14" t="s">
        <v>98</v>
      </c>
      <c r="G14" s="7">
        <f t="shared" ca="1" si="0"/>
        <v>46084</v>
      </c>
      <c r="H14" s="42">
        <f t="shared" ca="1" si="1"/>
        <v>30000</v>
      </c>
      <c r="K14" s="51" t="s">
        <v>111</v>
      </c>
      <c r="L14" s="52">
        <f ca="1">MIN(H4:H23)</f>
        <v>30000</v>
      </c>
    </row>
    <row r="15" spans="6:12">
      <c r="F15" s="14" t="s">
        <v>99</v>
      </c>
      <c r="G15" s="7">
        <f t="shared" ca="1" si="0"/>
        <v>46023</v>
      </c>
      <c r="H15" s="42">
        <f t="shared" ca="1" si="1"/>
        <v>80000</v>
      </c>
    </row>
    <row r="16" spans="6:12">
      <c r="F16" s="14" t="s">
        <v>100</v>
      </c>
      <c r="G16" s="7">
        <f t="shared" ca="1" si="0"/>
        <v>46101</v>
      </c>
      <c r="H16" s="42">
        <f t="shared" ca="1" si="1"/>
        <v>60000</v>
      </c>
    </row>
    <row r="17" spans="6:8">
      <c r="F17" s="14" t="s">
        <v>101</v>
      </c>
      <c r="G17" s="7">
        <f t="shared" ca="1" si="0"/>
        <v>46105</v>
      </c>
      <c r="H17" s="42">
        <f t="shared" ca="1" si="1"/>
        <v>80000</v>
      </c>
    </row>
    <row r="18" spans="6:8">
      <c r="F18" s="14" t="s">
        <v>102</v>
      </c>
      <c r="G18" s="7">
        <f t="shared" ca="1" si="0"/>
        <v>46106</v>
      </c>
      <c r="H18" s="42">
        <f t="shared" ca="1" si="1"/>
        <v>80000</v>
      </c>
    </row>
    <row r="19" spans="6:8">
      <c r="F19" s="14" t="s">
        <v>103</v>
      </c>
      <c r="G19" s="7">
        <f t="shared" ca="1" si="0"/>
        <v>46075</v>
      </c>
      <c r="H19" s="42">
        <f t="shared" ca="1" si="1"/>
        <v>30000</v>
      </c>
    </row>
    <row r="20" spans="6:8">
      <c r="F20" s="14" t="s">
        <v>104</v>
      </c>
      <c r="G20" s="7">
        <f t="shared" ca="1" si="0"/>
        <v>46040</v>
      </c>
      <c r="H20" s="42">
        <f t="shared" ca="1" si="1"/>
        <v>60000</v>
      </c>
    </row>
    <row r="21" spans="6:8">
      <c r="F21" s="14" t="s">
        <v>105</v>
      </c>
      <c r="G21" s="7">
        <f t="shared" ca="1" si="0"/>
        <v>46087</v>
      </c>
      <c r="H21" s="42">
        <f t="shared" ca="1" si="1"/>
        <v>30000</v>
      </c>
    </row>
    <row r="22" spans="6:8">
      <c r="F22" s="14" t="s">
        <v>106</v>
      </c>
      <c r="G22" s="7">
        <f t="shared" ca="1" si="0"/>
        <v>46041</v>
      </c>
      <c r="H22" s="42">
        <f t="shared" ca="1" si="1"/>
        <v>30000</v>
      </c>
    </row>
    <row r="23" spans="6:8">
      <c r="F23" s="14" t="s">
        <v>107</v>
      </c>
      <c r="G23" s="7">
        <f t="shared" ca="1" si="0"/>
        <v>46054</v>
      </c>
      <c r="H23" s="42">
        <f t="shared" ca="1" si="1"/>
        <v>45000</v>
      </c>
    </row>
    <row r="24" spans="6:8">
      <c r="F24" s="43"/>
      <c r="G24" s="23"/>
      <c r="H24" s="44"/>
    </row>
    <row r="25" spans="6:8">
      <c r="F25" s="45" t="s">
        <v>108</v>
      </c>
      <c r="G25" s="23"/>
      <c r="H25" s="46">
        <f ca="1">SUM(H4:H23)</f>
        <v>1161000</v>
      </c>
    </row>
    <row r="26" spans="6:8">
      <c r="F26" s="45" t="s">
        <v>109</v>
      </c>
      <c r="G26" s="23"/>
      <c r="H26" s="47">
        <f ca="1">AVERAGE(H4:H23)</f>
        <v>58050</v>
      </c>
    </row>
    <row r="27" spans="6:8" ht="15.75" thickBot="1">
      <c r="F27" s="48"/>
      <c r="G27" s="49"/>
      <c r="H27" s="5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2"/>
  <sheetViews>
    <sheetView workbookViewId="0">
      <selection activeCell="M18" sqref="M18:M19"/>
    </sheetView>
  </sheetViews>
  <sheetFormatPr defaultRowHeight="15"/>
  <cols>
    <col min="5" max="5" width="18.28515625" customWidth="1"/>
    <col min="6" max="6" width="12.140625" customWidth="1"/>
    <col min="11" max="11" width="12" customWidth="1"/>
    <col min="13" max="13" width="10.85546875" customWidth="1"/>
  </cols>
  <sheetData>
    <row r="1" spans="1:13" ht="23.25">
      <c r="A1" s="22"/>
      <c r="F1" s="74" t="s">
        <v>112</v>
      </c>
      <c r="G1" s="74"/>
      <c r="H1" s="74"/>
      <c r="I1" s="74"/>
      <c r="J1" s="75"/>
      <c r="K1" s="3"/>
    </row>
    <row r="2" spans="1:13" ht="23.25">
      <c r="F2" s="33"/>
      <c r="G2" s="33"/>
      <c r="H2" s="33"/>
      <c r="I2" s="33"/>
    </row>
    <row r="3" spans="1:13">
      <c r="E3" s="34" t="s">
        <v>113</v>
      </c>
      <c r="F3" s="34" t="s">
        <v>42</v>
      </c>
      <c r="G3" s="34" t="s">
        <v>43</v>
      </c>
      <c r="I3" s="22"/>
    </row>
    <row r="4" spans="1:13">
      <c r="E4" s="10" t="s">
        <v>114</v>
      </c>
      <c r="F4" s="52" t="s">
        <v>49</v>
      </c>
      <c r="G4" s="9">
        <f ca="1">RANDBETWEEN(25,98)*1000</f>
        <v>59000</v>
      </c>
      <c r="L4" s="22"/>
    </row>
    <row r="5" spans="1:13">
      <c r="E5" s="10" t="s">
        <v>115</v>
      </c>
      <c r="F5" s="52" t="s">
        <v>48</v>
      </c>
      <c r="G5" s="9">
        <f t="shared" ref="G5:G22" ca="1" si="0">RANDBETWEEN(25,98)*1000</f>
        <v>28000</v>
      </c>
      <c r="L5" s="22"/>
    </row>
    <row r="6" spans="1:13">
      <c r="E6" s="10" t="s">
        <v>116</v>
      </c>
      <c r="F6" s="52" t="s">
        <v>46</v>
      </c>
      <c r="G6" s="9">
        <f t="shared" ca="1" si="0"/>
        <v>34000</v>
      </c>
      <c r="L6" s="22"/>
    </row>
    <row r="7" spans="1:13">
      <c r="E7" s="10" t="s">
        <v>117</v>
      </c>
      <c r="F7" s="52" t="s">
        <v>46</v>
      </c>
      <c r="G7" s="9">
        <f t="shared" ca="1" si="0"/>
        <v>81000</v>
      </c>
      <c r="L7" s="22"/>
    </row>
    <row r="8" spans="1:13">
      <c r="E8" s="10" t="s">
        <v>118</v>
      </c>
      <c r="F8" s="52" t="s">
        <v>46</v>
      </c>
      <c r="G8" s="9">
        <f t="shared" ca="1" si="0"/>
        <v>98000</v>
      </c>
      <c r="L8" s="22"/>
    </row>
    <row r="9" spans="1:13">
      <c r="E9" s="10" t="s">
        <v>119</v>
      </c>
      <c r="F9" s="52" t="s">
        <v>48</v>
      </c>
      <c r="G9" s="9">
        <f t="shared" ca="1" si="0"/>
        <v>35000</v>
      </c>
    </row>
    <row r="10" spans="1:13">
      <c r="E10" s="10" t="s">
        <v>120</v>
      </c>
      <c r="F10" s="52" t="s">
        <v>47</v>
      </c>
      <c r="G10" s="9">
        <f t="shared" ca="1" si="0"/>
        <v>26000</v>
      </c>
      <c r="K10" s="79" t="s">
        <v>132</v>
      </c>
      <c r="L10" s="79"/>
      <c r="M10" s="79"/>
    </row>
    <row r="11" spans="1:13">
      <c r="E11" s="10" t="s">
        <v>121</v>
      </c>
      <c r="F11" s="52" t="s">
        <v>45</v>
      </c>
      <c r="G11" s="9">
        <f t="shared" ca="1" si="0"/>
        <v>73000</v>
      </c>
      <c r="K11" s="8" t="s">
        <v>42</v>
      </c>
      <c r="L11" s="65"/>
      <c r="M11" s="8" t="s">
        <v>133</v>
      </c>
    </row>
    <row r="12" spans="1:13">
      <c r="E12" s="10" t="s">
        <v>122</v>
      </c>
      <c r="F12" s="52" t="s">
        <v>48</v>
      </c>
      <c r="G12" s="9">
        <f t="shared" ca="1" si="0"/>
        <v>39000</v>
      </c>
      <c r="K12" s="8" t="s">
        <v>45</v>
      </c>
      <c r="L12" s="65"/>
      <c r="M12" s="8">
        <f ca="1">SUMIF(F4:F22,F11,G4:G22)</f>
        <v>162000</v>
      </c>
    </row>
    <row r="13" spans="1:13">
      <c r="E13" s="10" t="s">
        <v>123</v>
      </c>
      <c r="F13" s="52" t="s">
        <v>48</v>
      </c>
      <c r="G13" s="9">
        <f t="shared" ca="1" si="0"/>
        <v>40000</v>
      </c>
      <c r="K13" s="8" t="s">
        <v>47</v>
      </c>
      <c r="L13" s="65"/>
      <c r="M13" s="8">
        <f ca="1">SUMIF(F4:F22,F10,G4:G22)</f>
        <v>169000</v>
      </c>
    </row>
    <row r="14" spans="1:13">
      <c r="E14" s="10" t="s">
        <v>124</v>
      </c>
      <c r="F14" s="52" t="s">
        <v>46</v>
      </c>
      <c r="G14" s="9">
        <f t="shared" ca="1" si="0"/>
        <v>34000</v>
      </c>
      <c r="K14" s="8" t="s">
        <v>48</v>
      </c>
      <c r="L14" s="65"/>
      <c r="M14" s="8">
        <f ca="1">SUMIF(F4:F22,F5,G4:G22)</f>
        <v>335000</v>
      </c>
    </row>
    <row r="15" spans="1:13">
      <c r="E15" s="10" t="s">
        <v>60</v>
      </c>
      <c r="F15" s="52" t="s">
        <v>45</v>
      </c>
      <c r="G15" s="9">
        <f t="shared" ca="1" si="0"/>
        <v>89000</v>
      </c>
      <c r="K15" s="8" t="s">
        <v>46</v>
      </c>
      <c r="L15" s="65"/>
      <c r="M15" s="8">
        <f ca="1">SUMIF(F4:F22,F14,G4:G22)</f>
        <v>336000</v>
      </c>
    </row>
    <row r="16" spans="1:13">
      <c r="E16" s="10" t="s">
        <v>125</v>
      </c>
      <c r="F16" s="52" t="s">
        <v>47</v>
      </c>
      <c r="G16" s="9">
        <f t="shared" ca="1" si="0"/>
        <v>89000</v>
      </c>
      <c r="K16" s="8" t="s">
        <v>49</v>
      </c>
      <c r="L16" s="65"/>
      <c r="M16" s="8">
        <f ca="1">SUMIF(F4:F22,F4,G4:G22)</f>
        <v>114000</v>
      </c>
    </row>
    <row r="17" spans="5:13">
      <c r="E17" s="10" t="s">
        <v>126</v>
      </c>
      <c r="F17" s="52" t="s">
        <v>47</v>
      </c>
      <c r="G17" s="9">
        <f t="shared" ca="1" si="0"/>
        <v>54000</v>
      </c>
      <c r="K17" s="65"/>
      <c r="L17" s="65"/>
      <c r="M17" s="65"/>
    </row>
    <row r="18" spans="5:13">
      <c r="E18" s="10" t="s">
        <v>127</v>
      </c>
      <c r="F18" s="52" t="s">
        <v>48</v>
      </c>
      <c r="G18" s="9">
        <f t="shared" ca="1" si="0"/>
        <v>73000</v>
      </c>
      <c r="K18" s="9" t="s">
        <v>183</v>
      </c>
      <c r="L18" s="9"/>
      <c r="M18" s="76">
        <f ca="1">AVERAGE(G4:G22)</f>
        <v>58736.84210526316</v>
      </c>
    </row>
    <row r="19" spans="5:13">
      <c r="E19" s="10" t="s">
        <v>128</v>
      </c>
      <c r="F19" s="52" t="s">
        <v>48</v>
      </c>
      <c r="G19" s="9">
        <f t="shared" ca="1" si="0"/>
        <v>63000</v>
      </c>
      <c r="K19" s="9" t="s">
        <v>184</v>
      </c>
      <c r="L19" s="9"/>
      <c r="M19" s="76">
        <f ca="1">COUNT(G4:G22)</f>
        <v>19</v>
      </c>
    </row>
    <row r="20" spans="5:13">
      <c r="E20" s="10" t="s">
        <v>129</v>
      </c>
      <c r="F20" s="52" t="s">
        <v>49</v>
      </c>
      <c r="G20" s="9">
        <f t="shared" ca="1" si="0"/>
        <v>55000</v>
      </c>
    </row>
    <row r="21" spans="5:13">
      <c r="E21" s="10" t="s">
        <v>130</v>
      </c>
      <c r="F21" s="52" t="s">
        <v>46</v>
      </c>
      <c r="G21" s="9">
        <f t="shared" ca="1" si="0"/>
        <v>89000</v>
      </c>
    </row>
    <row r="22" spans="5:13">
      <c r="E22" s="10" t="s">
        <v>131</v>
      </c>
      <c r="F22" s="52" t="s">
        <v>48</v>
      </c>
      <c r="G22" s="9">
        <f t="shared" ca="1" si="0"/>
        <v>57000</v>
      </c>
    </row>
  </sheetData>
  <mergeCells count="1">
    <mergeCell ref="K10:M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E2:L23"/>
  <sheetViews>
    <sheetView workbookViewId="0">
      <selection activeCell="M5" sqref="M5"/>
    </sheetView>
  </sheetViews>
  <sheetFormatPr defaultRowHeight="15"/>
  <cols>
    <col min="5" max="5" width="15.42578125" customWidth="1"/>
    <col min="11" max="11" width="18.140625" customWidth="1"/>
    <col min="12" max="12" width="12.140625" bestFit="1" customWidth="1"/>
  </cols>
  <sheetData>
    <row r="2" spans="5:12" ht="23.25">
      <c r="F2" s="80" t="s">
        <v>134</v>
      </c>
      <c r="G2" s="80"/>
      <c r="H2" s="80"/>
      <c r="I2" s="80"/>
      <c r="J2" s="80"/>
    </row>
    <row r="4" spans="5:12" ht="15.75">
      <c r="E4" s="53" t="s">
        <v>80</v>
      </c>
      <c r="F4" s="53" t="s">
        <v>151</v>
      </c>
      <c r="G4" s="53" t="s">
        <v>152</v>
      </c>
      <c r="H4" s="53" t="s">
        <v>153</v>
      </c>
      <c r="I4" s="53" t="s">
        <v>154</v>
      </c>
      <c r="J4" s="53" t="s">
        <v>155</v>
      </c>
      <c r="K4" s="53" t="s">
        <v>156</v>
      </c>
      <c r="L4" s="53" t="s">
        <v>157</v>
      </c>
    </row>
    <row r="5" spans="5:12">
      <c r="E5" s="5" t="s">
        <v>135</v>
      </c>
      <c r="F5" s="5" t="str">
        <f ca="1">CHOOSE(RANDBETWEEN(1,2),"P","A")</f>
        <v>A</v>
      </c>
      <c r="G5" s="5" t="str">
        <f ca="1">CHOOSE(RANDBETWEEN(1,2),"P","A")</f>
        <v>P</v>
      </c>
      <c r="H5" s="54" t="str">
        <f ca="1">CHOOSE(RANDBETWEEN(1,2),"P","A")</f>
        <v>A</v>
      </c>
      <c r="I5" s="5" t="str">
        <f ca="1">CHOOSE(RANDBETWEEN(1,2),"P","A")</f>
        <v>A</v>
      </c>
      <c r="J5" s="5" t="str">
        <f ca="1">CHOOSE(RANDBETWEEN(1,2),"P","A")</f>
        <v>P</v>
      </c>
      <c r="K5" s="5">
        <f ca="1">COUNTIF(F5:J5,"P")</f>
        <v>2</v>
      </c>
      <c r="L5" s="5">
        <f ca="1">COUNTIF(F5:J5,"A")</f>
        <v>3</v>
      </c>
    </row>
    <row r="6" spans="5:12">
      <c r="E6" s="5" t="s">
        <v>116</v>
      </c>
      <c r="F6" s="5" t="str">
        <f t="shared" ref="F6:J23" ca="1" si="0">CHOOSE(RANDBETWEEN(1,2),"P","A")</f>
        <v>A</v>
      </c>
      <c r="G6" s="5" t="str">
        <f t="shared" ca="1" si="0"/>
        <v>P</v>
      </c>
      <c r="H6" s="54" t="str">
        <f t="shared" ca="1" si="0"/>
        <v>P</v>
      </c>
      <c r="I6" s="5" t="str">
        <f t="shared" ca="1" si="0"/>
        <v>A</v>
      </c>
      <c r="J6" s="5" t="str">
        <f t="shared" ca="1" si="0"/>
        <v>A</v>
      </c>
      <c r="K6" s="5">
        <f t="shared" ref="K6:K23" ca="1" si="1">COUNTIF(F6:J6,"P")</f>
        <v>2</v>
      </c>
      <c r="L6" s="5">
        <f t="shared" ref="L6:L23" ca="1" si="2">COUNTIF(F6:J6,"A")</f>
        <v>3</v>
      </c>
    </row>
    <row r="7" spans="5:12">
      <c r="E7" s="5" t="s">
        <v>74</v>
      </c>
      <c r="F7" s="5" t="str">
        <f t="shared" ca="1" si="0"/>
        <v>A</v>
      </c>
      <c r="G7" s="5" t="str">
        <f t="shared" ca="1" si="0"/>
        <v>P</v>
      </c>
      <c r="H7" s="54" t="str">
        <f t="shared" ca="1" si="0"/>
        <v>P</v>
      </c>
      <c r="I7" s="5" t="str">
        <f t="shared" ca="1" si="0"/>
        <v>A</v>
      </c>
      <c r="J7" s="5" t="str">
        <f t="shared" ca="1" si="0"/>
        <v>P</v>
      </c>
      <c r="K7" s="5">
        <f t="shared" ca="1" si="1"/>
        <v>3</v>
      </c>
      <c r="L7" s="5">
        <f t="shared" ca="1" si="2"/>
        <v>2</v>
      </c>
    </row>
    <row r="8" spans="5:12">
      <c r="E8" s="5" t="s">
        <v>60</v>
      </c>
      <c r="F8" s="5" t="str">
        <f t="shared" ca="1" si="0"/>
        <v>P</v>
      </c>
      <c r="G8" s="5" t="str">
        <f t="shared" ca="1" si="0"/>
        <v>P</v>
      </c>
      <c r="H8" s="54" t="str">
        <f t="shared" ca="1" si="0"/>
        <v>P</v>
      </c>
      <c r="I8" s="5" t="str">
        <f t="shared" ca="1" si="0"/>
        <v>A</v>
      </c>
      <c r="J8" s="5" t="str">
        <f t="shared" ca="1" si="0"/>
        <v>A</v>
      </c>
      <c r="K8" s="5">
        <f t="shared" ca="1" si="1"/>
        <v>3</v>
      </c>
      <c r="L8" s="5">
        <f t="shared" ca="1" si="2"/>
        <v>2</v>
      </c>
    </row>
    <row r="9" spans="5:12">
      <c r="E9" s="5" t="s">
        <v>136</v>
      </c>
      <c r="F9" s="5" t="str">
        <f t="shared" ca="1" si="0"/>
        <v>P</v>
      </c>
      <c r="G9" s="5" t="str">
        <f t="shared" ca="1" si="0"/>
        <v>P</v>
      </c>
      <c r="H9" s="54" t="str">
        <f t="shared" ca="1" si="0"/>
        <v>A</v>
      </c>
      <c r="I9" s="5" t="str">
        <f t="shared" ca="1" si="0"/>
        <v>P</v>
      </c>
      <c r="J9" s="5" t="str">
        <f t="shared" ca="1" si="0"/>
        <v>A</v>
      </c>
      <c r="K9" s="5">
        <f t="shared" ca="1" si="1"/>
        <v>3</v>
      </c>
      <c r="L9" s="5">
        <f t="shared" ca="1" si="2"/>
        <v>2</v>
      </c>
    </row>
    <row r="10" spans="5:12">
      <c r="E10" s="5" t="s">
        <v>137</v>
      </c>
      <c r="F10" s="5" t="str">
        <f t="shared" ca="1" si="0"/>
        <v>A</v>
      </c>
      <c r="G10" s="5" t="str">
        <f t="shared" ca="1" si="0"/>
        <v>A</v>
      </c>
      <c r="H10" s="54" t="str">
        <f t="shared" ca="1" si="0"/>
        <v>P</v>
      </c>
      <c r="I10" s="5" t="str">
        <f t="shared" ca="1" si="0"/>
        <v>P</v>
      </c>
      <c r="J10" s="5" t="str">
        <f t="shared" ca="1" si="0"/>
        <v>P</v>
      </c>
      <c r="K10" s="5">
        <f t="shared" ca="1" si="1"/>
        <v>3</v>
      </c>
      <c r="L10" s="5">
        <f t="shared" ca="1" si="2"/>
        <v>2</v>
      </c>
    </row>
    <row r="11" spans="5:12">
      <c r="E11" s="5" t="s">
        <v>138</v>
      </c>
      <c r="F11" s="5" t="str">
        <f t="shared" ca="1" si="0"/>
        <v>P</v>
      </c>
      <c r="G11" s="5" t="str">
        <f t="shared" ca="1" si="0"/>
        <v>P</v>
      </c>
      <c r="H11" s="54" t="str">
        <f t="shared" ca="1" si="0"/>
        <v>P</v>
      </c>
      <c r="I11" s="5" t="str">
        <f t="shared" ca="1" si="0"/>
        <v>A</v>
      </c>
      <c r="J11" s="5" t="str">
        <f t="shared" ca="1" si="0"/>
        <v>A</v>
      </c>
      <c r="K11" s="5">
        <f t="shared" ca="1" si="1"/>
        <v>3</v>
      </c>
      <c r="L11" s="5">
        <f t="shared" ca="1" si="2"/>
        <v>2</v>
      </c>
    </row>
    <row r="12" spans="5:12">
      <c r="E12" s="5" t="s">
        <v>139</v>
      </c>
      <c r="F12" s="5" t="str">
        <f t="shared" ca="1" si="0"/>
        <v>P</v>
      </c>
      <c r="G12" s="5" t="str">
        <f t="shared" ca="1" si="0"/>
        <v>A</v>
      </c>
      <c r="H12" s="54" t="str">
        <f t="shared" ca="1" si="0"/>
        <v>A</v>
      </c>
      <c r="I12" s="5" t="str">
        <f t="shared" ca="1" si="0"/>
        <v>A</v>
      </c>
      <c r="J12" s="5" t="str">
        <f t="shared" ca="1" si="0"/>
        <v>A</v>
      </c>
      <c r="K12" s="5">
        <f t="shared" ca="1" si="1"/>
        <v>1</v>
      </c>
      <c r="L12" s="5">
        <f t="shared" ca="1" si="2"/>
        <v>4</v>
      </c>
    </row>
    <row r="13" spans="5:12">
      <c r="E13" s="5" t="s">
        <v>140</v>
      </c>
      <c r="F13" s="5" t="str">
        <f t="shared" ca="1" si="0"/>
        <v>P</v>
      </c>
      <c r="G13" s="5" t="str">
        <f t="shared" ca="1" si="0"/>
        <v>A</v>
      </c>
      <c r="H13" s="54" t="str">
        <f t="shared" ca="1" si="0"/>
        <v>P</v>
      </c>
      <c r="I13" s="5" t="str">
        <f t="shared" ca="1" si="0"/>
        <v>P</v>
      </c>
      <c r="J13" s="5" t="str">
        <f t="shared" ca="1" si="0"/>
        <v>A</v>
      </c>
      <c r="K13" s="5">
        <f t="shared" ca="1" si="1"/>
        <v>3</v>
      </c>
      <c r="L13" s="5">
        <f t="shared" ca="1" si="2"/>
        <v>2</v>
      </c>
    </row>
    <row r="14" spans="5:12">
      <c r="E14" s="5" t="s">
        <v>141</v>
      </c>
      <c r="F14" s="5" t="str">
        <f t="shared" ca="1" si="0"/>
        <v>P</v>
      </c>
      <c r="G14" s="5" t="str">
        <f t="shared" ca="1" si="0"/>
        <v>P</v>
      </c>
      <c r="H14" s="54" t="str">
        <f t="shared" ca="1" si="0"/>
        <v>P</v>
      </c>
      <c r="I14" s="5" t="str">
        <f t="shared" ca="1" si="0"/>
        <v>P</v>
      </c>
      <c r="J14" s="5" t="str">
        <f t="shared" ca="1" si="0"/>
        <v>A</v>
      </c>
      <c r="K14" s="5">
        <f t="shared" ca="1" si="1"/>
        <v>4</v>
      </c>
      <c r="L14" s="5">
        <f t="shared" ca="1" si="2"/>
        <v>1</v>
      </c>
    </row>
    <row r="15" spans="5:12">
      <c r="E15" s="5" t="s">
        <v>142</v>
      </c>
      <c r="F15" s="5" t="str">
        <f t="shared" ca="1" si="0"/>
        <v>A</v>
      </c>
      <c r="G15" s="5" t="str">
        <f t="shared" ca="1" si="0"/>
        <v>P</v>
      </c>
      <c r="H15" s="54" t="str">
        <f t="shared" ca="1" si="0"/>
        <v>A</v>
      </c>
      <c r="I15" s="5" t="str">
        <f t="shared" ca="1" si="0"/>
        <v>A</v>
      </c>
      <c r="J15" s="5" t="str">
        <f t="shared" ca="1" si="0"/>
        <v>A</v>
      </c>
      <c r="K15" s="5">
        <f t="shared" ca="1" si="1"/>
        <v>1</v>
      </c>
      <c r="L15" s="5">
        <f t="shared" ca="1" si="2"/>
        <v>4</v>
      </c>
    </row>
    <row r="16" spans="5:12">
      <c r="E16" s="5" t="s">
        <v>143</v>
      </c>
      <c r="F16" s="5" t="str">
        <f t="shared" ca="1" si="0"/>
        <v>P</v>
      </c>
      <c r="G16" s="5" t="str">
        <f t="shared" ca="1" si="0"/>
        <v>A</v>
      </c>
      <c r="H16" s="54" t="str">
        <f t="shared" ca="1" si="0"/>
        <v>A</v>
      </c>
      <c r="I16" s="5" t="str">
        <f t="shared" ca="1" si="0"/>
        <v>A</v>
      </c>
      <c r="J16" s="5" t="str">
        <f t="shared" ca="1" si="0"/>
        <v>A</v>
      </c>
      <c r="K16" s="5">
        <f t="shared" ca="1" si="1"/>
        <v>1</v>
      </c>
      <c r="L16" s="5">
        <f t="shared" ca="1" si="2"/>
        <v>4</v>
      </c>
    </row>
    <row r="17" spans="5:12">
      <c r="E17" s="5" t="s">
        <v>144</v>
      </c>
      <c r="F17" s="5" t="str">
        <f t="shared" ca="1" si="0"/>
        <v>A</v>
      </c>
      <c r="G17" s="5" t="str">
        <f t="shared" ca="1" si="0"/>
        <v>A</v>
      </c>
      <c r="H17" s="54" t="str">
        <f t="shared" ca="1" si="0"/>
        <v>A</v>
      </c>
      <c r="I17" s="5" t="str">
        <f t="shared" ca="1" si="0"/>
        <v>A</v>
      </c>
      <c r="J17" s="5" t="str">
        <f t="shared" ca="1" si="0"/>
        <v>P</v>
      </c>
      <c r="K17" s="5">
        <f t="shared" ca="1" si="1"/>
        <v>1</v>
      </c>
      <c r="L17" s="5">
        <f t="shared" ca="1" si="2"/>
        <v>4</v>
      </c>
    </row>
    <row r="18" spans="5:12">
      <c r="E18" s="5" t="s">
        <v>145</v>
      </c>
      <c r="F18" s="5" t="str">
        <f t="shared" ca="1" si="0"/>
        <v>A</v>
      </c>
      <c r="G18" s="5" t="str">
        <f t="shared" ca="1" si="0"/>
        <v>A</v>
      </c>
      <c r="H18" s="54" t="str">
        <f t="shared" ca="1" si="0"/>
        <v>P</v>
      </c>
      <c r="I18" s="5" t="str">
        <f t="shared" ca="1" si="0"/>
        <v>A</v>
      </c>
      <c r="J18" s="5" t="str">
        <f t="shared" ca="1" si="0"/>
        <v>A</v>
      </c>
      <c r="K18" s="5">
        <f t="shared" ca="1" si="1"/>
        <v>1</v>
      </c>
      <c r="L18" s="5">
        <f t="shared" ca="1" si="2"/>
        <v>4</v>
      </c>
    </row>
    <row r="19" spans="5:12">
      <c r="E19" s="5" t="s">
        <v>146</v>
      </c>
      <c r="F19" s="5" t="str">
        <f t="shared" ca="1" si="0"/>
        <v>P</v>
      </c>
      <c r="G19" s="5" t="str">
        <f t="shared" ca="1" si="0"/>
        <v>A</v>
      </c>
      <c r="H19" s="54" t="str">
        <f t="shared" ca="1" si="0"/>
        <v>A</v>
      </c>
      <c r="I19" s="5" t="str">
        <f t="shared" ca="1" si="0"/>
        <v>A</v>
      </c>
      <c r="J19" s="5" t="str">
        <f t="shared" ca="1" si="0"/>
        <v>P</v>
      </c>
      <c r="K19" s="5">
        <f t="shared" ca="1" si="1"/>
        <v>2</v>
      </c>
      <c r="L19" s="5">
        <f t="shared" ca="1" si="2"/>
        <v>3</v>
      </c>
    </row>
    <row r="20" spans="5:12">
      <c r="E20" s="5" t="s">
        <v>147</v>
      </c>
      <c r="F20" s="5" t="str">
        <f t="shared" ca="1" si="0"/>
        <v>A</v>
      </c>
      <c r="G20" s="5" t="str">
        <f t="shared" ca="1" si="0"/>
        <v>A</v>
      </c>
      <c r="H20" s="54" t="str">
        <f t="shared" ca="1" si="0"/>
        <v>A</v>
      </c>
      <c r="I20" s="5" t="str">
        <f t="shared" ca="1" si="0"/>
        <v>P</v>
      </c>
      <c r="J20" s="5" t="str">
        <f t="shared" ca="1" si="0"/>
        <v>P</v>
      </c>
      <c r="K20" s="5">
        <f t="shared" ca="1" si="1"/>
        <v>2</v>
      </c>
      <c r="L20" s="5">
        <f t="shared" ca="1" si="2"/>
        <v>3</v>
      </c>
    </row>
    <row r="21" spans="5:12">
      <c r="E21" s="5" t="s">
        <v>148</v>
      </c>
      <c r="F21" s="5" t="str">
        <f t="shared" ca="1" si="0"/>
        <v>A</v>
      </c>
      <c r="G21" s="5" t="str">
        <f t="shared" ca="1" si="0"/>
        <v>A</v>
      </c>
      <c r="H21" s="54" t="str">
        <f t="shared" ca="1" si="0"/>
        <v>P</v>
      </c>
      <c r="I21" s="5" t="str">
        <f t="shared" ca="1" si="0"/>
        <v>A</v>
      </c>
      <c r="J21" s="5" t="str">
        <f t="shared" ca="1" si="0"/>
        <v>P</v>
      </c>
      <c r="K21" s="5">
        <f t="shared" ca="1" si="1"/>
        <v>2</v>
      </c>
      <c r="L21" s="5">
        <f t="shared" ca="1" si="2"/>
        <v>3</v>
      </c>
    </row>
    <row r="22" spans="5:12">
      <c r="E22" s="5" t="s">
        <v>149</v>
      </c>
      <c r="F22" s="5" t="str">
        <f t="shared" ca="1" si="0"/>
        <v>P</v>
      </c>
      <c r="G22" s="5" t="str">
        <f t="shared" ca="1" si="0"/>
        <v>A</v>
      </c>
      <c r="H22" s="54" t="str">
        <f t="shared" ca="1" si="0"/>
        <v>A</v>
      </c>
      <c r="I22" s="5" t="str">
        <f t="shared" ca="1" si="0"/>
        <v>P</v>
      </c>
      <c r="J22" s="5" t="str">
        <f t="shared" ca="1" si="0"/>
        <v>P</v>
      </c>
      <c r="K22" s="5">
        <f t="shared" ca="1" si="1"/>
        <v>3</v>
      </c>
      <c r="L22" s="5">
        <f t="shared" ca="1" si="2"/>
        <v>2</v>
      </c>
    </row>
    <row r="23" spans="5:12">
      <c r="E23" s="5" t="s">
        <v>150</v>
      </c>
      <c r="F23" s="5" t="str">
        <f t="shared" ca="1" si="0"/>
        <v>A</v>
      </c>
      <c r="G23" s="5" t="str">
        <f t="shared" ca="1" si="0"/>
        <v>P</v>
      </c>
      <c r="H23" s="54" t="str">
        <f t="shared" ca="1" si="0"/>
        <v>A</v>
      </c>
      <c r="I23" s="5" t="str">
        <f t="shared" ca="1" si="0"/>
        <v>A</v>
      </c>
      <c r="J23" s="5" t="str">
        <f t="shared" ca="1" si="0"/>
        <v>A</v>
      </c>
      <c r="K23" s="5">
        <f t="shared" ca="1" si="1"/>
        <v>1</v>
      </c>
      <c r="L23" s="5">
        <f t="shared" ca="1" si="2"/>
        <v>4</v>
      </c>
    </row>
  </sheetData>
  <mergeCells count="1">
    <mergeCell ref="F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E2:L26"/>
  <sheetViews>
    <sheetView workbookViewId="0">
      <selection activeCell="G17" sqref="G17"/>
    </sheetView>
  </sheetViews>
  <sheetFormatPr defaultRowHeight="15"/>
  <cols>
    <col min="5" max="5" width="12.5703125" customWidth="1"/>
    <col min="6" max="6" width="12.140625" customWidth="1"/>
  </cols>
  <sheetData>
    <row r="2" spans="5:12" ht="21">
      <c r="E2" s="69" t="s">
        <v>158</v>
      </c>
      <c r="F2" s="70"/>
      <c r="G2" s="21"/>
      <c r="J2" s="81" t="s">
        <v>180</v>
      </c>
      <c r="K2" s="82"/>
      <c r="L2" s="83"/>
    </row>
    <row r="3" spans="5:12">
      <c r="J3" s="71" t="s">
        <v>181</v>
      </c>
      <c r="K3" s="72"/>
      <c r="L3" s="73">
        <f>COUNTIF(F5:F24,"&gt;10000")</f>
        <v>6</v>
      </c>
    </row>
    <row r="4" spans="5:12">
      <c r="E4" s="64" t="s">
        <v>159</v>
      </c>
      <c r="F4" s="64" t="s">
        <v>53</v>
      </c>
      <c r="J4" s="72" t="s">
        <v>182</v>
      </c>
      <c r="K4" s="72"/>
      <c r="L4" s="73">
        <f>COUNTIF(F5:F24,"&gt;5000")</f>
        <v>10</v>
      </c>
    </row>
    <row r="5" spans="5:12">
      <c r="E5" s="4" t="s">
        <v>160</v>
      </c>
      <c r="F5" s="4">
        <v>3000</v>
      </c>
    </row>
    <row r="6" spans="5:12">
      <c r="E6" s="4" t="s">
        <v>161</v>
      </c>
      <c r="F6" s="4">
        <v>25000</v>
      </c>
    </row>
    <row r="7" spans="5:12">
      <c r="E7" s="4" t="s">
        <v>162</v>
      </c>
      <c r="F7" s="4">
        <v>35000</v>
      </c>
    </row>
    <row r="8" spans="5:12">
      <c r="E8" s="4" t="s">
        <v>163</v>
      </c>
      <c r="F8" s="4">
        <v>5400</v>
      </c>
    </row>
    <row r="9" spans="5:12">
      <c r="E9" s="4" t="s">
        <v>164</v>
      </c>
      <c r="F9" s="4">
        <v>5700</v>
      </c>
    </row>
    <row r="10" spans="5:12">
      <c r="E10" s="4" t="s">
        <v>165</v>
      </c>
      <c r="F10" s="4">
        <v>3300</v>
      </c>
    </row>
    <row r="11" spans="5:12">
      <c r="E11" s="4" t="s">
        <v>166</v>
      </c>
      <c r="F11" s="4">
        <v>4800</v>
      </c>
    </row>
    <row r="12" spans="5:12">
      <c r="E12" s="4" t="s">
        <v>167</v>
      </c>
      <c r="F12" s="4">
        <v>4100</v>
      </c>
    </row>
    <row r="13" spans="5:12">
      <c r="E13" s="4" t="s">
        <v>168</v>
      </c>
      <c r="F13" s="4">
        <v>4900</v>
      </c>
    </row>
    <row r="14" spans="5:12">
      <c r="E14" s="4" t="s">
        <v>169</v>
      </c>
      <c r="F14" s="4">
        <v>11000</v>
      </c>
    </row>
    <row r="15" spans="5:12">
      <c r="E15" s="4" t="s">
        <v>170</v>
      </c>
      <c r="F15" s="4">
        <v>5700</v>
      </c>
    </row>
    <row r="16" spans="5:12">
      <c r="E16" s="4" t="s">
        <v>171</v>
      </c>
      <c r="F16" s="4">
        <v>12000</v>
      </c>
    </row>
    <row r="17" spans="5:6">
      <c r="E17" s="4" t="s">
        <v>172</v>
      </c>
      <c r="F17" s="4">
        <v>4200</v>
      </c>
    </row>
    <row r="18" spans="5:6">
      <c r="E18" s="4" t="s">
        <v>173</v>
      </c>
      <c r="F18" s="4">
        <v>4400</v>
      </c>
    </row>
    <row r="19" spans="5:6">
      <c r="E19" s="4" t="s">
        <v>174</v>
      </c>
      <c r="F19" s="4">
        <v>17000</v>
      </c>
    </row>
    <row r="20" spans="5:6">
      <c r="E20" s="4" t="s">
        <v>175</v>
      </c>
      <c r="F20" s="4">
        <v>4000</v>
      </c>
    </row>
    <row r="21" spans="5:6">
      <c r="E21" s="4" t="s">
        <v>176</v>
      </c>
      <c r="F21" s="4">
        <v>19000</v>
      </c>
    </row>
    <row r="22" spans="5:6">
      <c r="E22" s="4" t="s">
        <v>177</v>
      </c>
      <c r="F22" s="4">
        <v>4200</v>
      </c>
    </row>
    <row r="23" spans="5:6">
      <c r="E23" s="4" t="s">
        <v>178</v>
      </c>
      <c r="F23" s="4">
        <v>4000</v>
      </c>
    </row>
    <row r="24" spans="5:6">
      <c r="E24" s="4" t="s">
        <v>179</v>
      </c>
      <c r="F24" s="4">
        <v>5500</v>
      </c>
    </row>
    <row r="25" spans="5:6">
      <c r="F25" s="56"/>
    </row>
    <row r="26" spans="5:6">
      <c r="F26" s="56"/>
    </row>
  </sheetData>
  <mergeCells count="1">
    <mergeCell ref="J2:L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F4:H24"/>
  <sheetViews>
    <sheetView workbookViewId="0">
      <selection activeCell="E5" sqref="E5"/>
    </sheetView>
  </sheetViews>
  <sheetFormatPr defaultRowHeight="15"/>
  <cols>
    <col min="7" max="7" width="15" customWidth="1"/>
  </cols>
  <sheetData>
    <row r="4" spans="6:8">
      <c r="F4" s="77" t="s">
        <v>59</v>
      </c>
      <c r="G4" s="77" t="s">
        <v>40</v>
      </c>
      <c r="H4" s="77" t="s">
        <v>199</v>
      </c>
    </row>
    <row r="5" spans="6:8">
      <c r="F5" s="5">
        <v>1</v>
      </c>
      <c r="G5" s="5" t="s">
        <v>185</v>
      </c>
      <c r="H5" s="57">
        <v>98</v>
      </c>
    </row>
    <row r="6" spans="6:8">
      <c r="F6" s="5">
        <v>2</v>
      </c>
      <c r="G6" s="5" t="s">
        <v>140</v>
      </c>
      <c r="H6" s="57">
        <v>56</v>
      </c>
    </row>
    <row r="7" spans="6:8">
      <c r="F7" s="5">
        <v>3</v>
      </c>
      <c r="G7" s="5" t="s">
        <v>186</v>
      </c>
      <c r="H7" s="57">
        <v>76</v>
      </c>
    </row>
    <row r="8" spans="6:8">
      <c r="F8" s="5">
        <v>4</v>
      </c>
      <c r="G8" s="5" t="s">
        <v>187</v>
      </c>
      <c r="H8" s="57">
        <v>87</v>
      </c>
    </row>
    <row r="9" spans="6:8">
      <c r="F9" s="5">
        <v>5</v>
      </c>
      <c r="G9" s="5" t="s">
        <v>188</v>
      </c>
      <c r="H9" s="57">
        <v>45</v>
      </c>
    </row>
    <row r="10" spans="6:8">
      <c r="F10" s="5">
        <v>6</v>
      </c>
      <c r="G10" s="5" t="s">
        <v>126</v>
      </c>
      <c r="H10" s="57">
        <v>66</v>
      </c>
    </row>
    <row r="11" spans="6:8">
      <c r="F11" s="5">
        <v>7</v>
      </c>
      <c r="G11" s="5" t="s">
        <v>189</v>
      </c>
      <c r="H11" s="57">
        <v>45</v>
      </c>
    </row>
    <row r="12" spans="6:8">
      <c r="F12" s="5">
        <v>8</v>
      </c>
      <c r="G12" s="5" t="s">
        <v>190</v>
      </c>
      <c r="H12" s="57">
        <v>87</v>
      </c>
    </row>
    <row r="13" spans="6:8">
      <c r="F13" s="5">
        <v>9</v>
      </c>
      <c r="G13" s="5" t="s">
        <v>60</v>
      </c>
      <c r="H13" s="57">
        <v>89</v>
      </c>
    </row>
    <row r="14" spans="6:8">
      <c r="F14" s="5">
        <v>10</v>
      </c>
      <c r="G14" s="5" t="s">
        <v>191</v>
      </c>
      <c r="H14" s="57">
        <v>45</v>
      </c>
    </row>
    <row r="15" spans="6:8">
      <c r="F15" s="5">
        <v>11</v>
      </c>
      <c r="G15" s="5" t="s">
        <v>144</v>
      </c>
      <c r="H15" s="57">
        <v>34</v>
      </c>
    </row>
    <row r="16" spans="6:8">
      <c r="F16" s="5">
        <v>12</v>
      </c>
      <c r="G16" s="5" t="s">
        <v>192</v>
      </c>
      <c r="H16" s="57">
        <v>23</v>
      </c>
    </row>
    <row r="17" spans="6:8">
      <c r="F17" s="5">
        <v>13</v>
      </c>
      <c r="G17" s="5" t="s">
        <v>193</v>
      </c>
      <c r="H17" s="57">
        <v>76</v>
      </c>
    </row>
    <row r="18" spans="6:8">
      <c r="F18" s="5">
        <v>14</v>
      </c>
      <c r="G18" s="5" t="s">
        <v>194</v>
      </c>
      <c r="H18" s="57">
        <v>56</v>
      </c>
    </row>
    <row r="19" spans="6:8">
      <c r="F19" s="5">
        <v>15</v>
      </c>
      <c r="G19" s="5" t="s">
        <v>150</v>
      </c>
      <c r="H19" s="57">
        <v>87</v>
      </c>
    </row>
    <row r="20" spans="6:8">
      <c r="F20" s="5">
        <v>16</v>
      </c>
      <c r="G20" s="5" t="s">
        <v>195</v>
      </c>
      <c r="H20" s="57">
        <v>34</v>
      </c>
    </row>
    <row r="21" spans="6:8">
      <c r="F21" s="5">
        <v>17</v>
      </c>
      <c r="G21" s="5" t="s">
        <v>196</v>
      </c>
      <c r="H21" s="57">
        <v>56</v>
      </c>
    </row>
    <row r="22" spans="6:8">
      <c r="F22" s="5">
        <v>18</v>
      </c>
      <c r="G22" s="5" t="s">
        <v>197</v>
      </c>
      <c r="H22" s="57">
        <v>23</v>
      </c>
    </row>
    <row r="23" spans="6:8">
      <c r="F23" s="5">
        <v>19</v>
      </c>
      <c r="G23" s="5" t="s">
        <v>198</v>
      </c>
      <c r="H23" s="57">
        <v>88</v>
      </c>
    </row>
    <row r="24" spans="6:8">
      <c r="F24" s="5">
        <v>20</v>
      </c>
      <c r="G24" s="5" t="s">
        <v>123</v>
      </c>
      <c r="H24" s="57">
        <v>99</v>
      </c>
    </row>
  </sheetData>
  <conditionalFormatting sqref="H5:H24">
    <cfRule type="cellIs" dxfId="7" priority="3" operator="greaterThanOrEqual">
      <formula>75</formula>
    </cfRule>
    <cfRule type="cellIs" dxfId="6" priority="2" operator="greaterThanOrEqual">
      <formula>75</formula>
    </cfRule>
    <cfRule type="cellIs" dxfId="5" priority="1" operator="lessThan">
      <formula>40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G2:J21"/>
  <sheetViews>
    <sheetView workbookViewId="0">
      <selection activeCell="A9" sqref="A9"/>
    </sheetView>
  </sheetViews>
  <sheetFormatPr defaultRowHeight="15"/>
  <cols>
    <col min="7" max="7" width="17.85546875" customWidth="1"/>
    <col min="8" max="8" width="13.140625" customWidth="1"/>
    <col min="9" max="9" width="0.42578125" customWidth="1"/>
    <col min="10" max="10" width="0.28515625" customWidth="1"/>
  </cols>
  <sheetData>
    <row r="2" spans="7:10" ht="23.25">
      <c r="G2" s="61" t="s">
        <v>200</v>
      </c>
      <c r="H2" s="61"/>
      <c r="I2" s="60"/>
      <c r="J2" s="33"/>
    </row>
    <row r="3" spans="7:10" ht="18.75">
      <c r="G3" s="62" t="s">
        <v>113</v>
      </c>
      <c r="H3" s="62" t="s">
        <v>43</v>
      </c>
    </row>
    <row r="4" spans="7:10" ht="15.75">
      <c r="G4" s="63" t="s">
        <v>201</v>
      </c>
      <c r="H4" s="59">
        <v>45000</v>
      </c>
    </row>
    <row r="5" spans="7:10">
      <c r="G5" s="52" t="s">
        <v>202</v>
      </c>
      <c r="H5" s="59">
        <v>35000</v>
      </c>
    </row>
    <row r="6" spans="7:10">
      <c r="G6" s="52" t="s">
        <v>203</v>
      </c>
      <c r="H6" s="59">
        <v>89000</v>
      </c>
    </row>
    <row r="7" spans="7:10">
      <c r="G7" s="52" t="s">
        <v>204</v>
      </c>
      <c r="H7" s="59">
        <v>67000</v>
      </c>
    </row>
    <row r="8" spans="7:10">
      <c r="G8" s="52" t="s">
        <v>5</v>
      </c>
      <c r="H8" s="59">
        <v>45000</v>
      </c>
    </row>
    <row r="9" spans="7:10">
      <c r="G9" s="52" t="s">
        <v>205</v>
      </c>
      <c r="H9" s="59">
        <v>30000</v>
      </c>
    </row>
    <row r="10" spans="7:10">
      <c r="G10" s="52" t="s">
        <v>206</v>
      </c>
      <c r="H10" s="59">
        <v>60000</v>
      </c>
    </row>
    <row r="11" spans="7:10">
      <c r="G11" s="52" t="s">
        <v>207</v>
      </c>
      <c r="H11" s="59">
        <v>67000</v>
      </c>
    </row>
    <row r="12" spans="7:10">
      <c r="G12" s="52" t="s">
        <v>208</v>
      </c>
      <c r="H12" s="59">
        <v>90000</v>
      </c>
    </row>
    <row r="13" spans="7:10">
      <c r="G13" s="52" t="s">
        <v>209</v>
      </c>
      <c r="H13" s="59">
        <v>50000</v>
      </c>
    </row>
    <row r="14" spans="7:10">
      <c r="G14" s="52" t="s">
        <v>210</v>
      </c>
      <c r="H14" s="59">
        <v>40000</v>
      </c>
    </row>
    <row r="15" spans="7:10">
      <c r="G15" s="52" t="s">
        <v>211</v>
      </c>
      <c r="H15" s="59">
        <v>20000</v>
      </c>
    </row>
    <row r="16" spans="7:10">
      <c r="G16" s="52" t="s">
        <v>212</v>
      </c>
      <c r="H16" s="59">
        <v>670000</v>
      </c>
    </row>
    <row r="17" spans="7:8">
      <c r="G17" s="52" t="s">
        <v>213</v>
      </c>
      <c r="H17" s="59">
        <v>45000</v>
      </c>
    </row>
    <row r="18" spans="7:8">
      <c r="G18" s="52" t="s">
        <v>214</v>
      </c>
      <c r="H18" s="59">
        <v>30000</v>
      </c>
    </row>
    <row r="19" spans="7:8">
      <c r="G19" s="52" t="s">
        <v>215</v>
      </c>
      <c r="H19" s="59">
        <v>99000</v>
      </c>
    </row>
    <row r="20" spans="7:8">
      <c r="G20" s="52" t="s">
        <v>216</v>
      </c>
      <c r="H20" s="59">
        <v>770000</v>
      </c>
    </row>
    <row r="21" spans="7:8">
      <c r="G21" s="52" t="s">
        <v>217</v>
      </c>
      <c r="H21" s="59">
        <v>89000</v>
      </c>
    </row>
  </sheetData>
  <conditionalFormatting sqref="H4:H21">
    <cfRule type="cellIs" dxfId="4" priority="1" operator="lessThan">
      <formula>30000</formula>
    </cfRule>
    <cfRule type="cellIs" dxfId="3" priority="2" operator="between">
      <formula>30000</formula>
      <formula>49999</formula>
    </cfRule>
    <cfRule type="cellIs" dxfId="2" priority="3" operator="greaterThanOrEqual">
      <formula>50000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G2:K21"/>
  <sheetViews>
    <sheetView tabSelected="1" workbookViewId="0">
      <selection activeCell="M11" sqref="M11"/>
    </sheetView>
  </sheetViews>
  <sheetFormatPr defaultRowHeight="15"/>
  <cols>
    <col min="7" max="7" width="25.28515625" customWidth="1"/>
    <col min="8" max="8" width="16" customWidth="1"/>
  </cols>
  <sheetData>
    <row r="2" spans="7:11" ht="23.25">
      <c r="G2" s="84" t="s">
        <v>218</v>
      </c>
      <c r="H2" s="84"/>
      <c r="I2" s="33"/>
      <c r="J2" s="33"/>
      <c r="K2" s="33"/>
    </row>
    <row r="3" spans="7:11">
      <c r="G3" s="64" t="s">
        <v>51</v>
      </c>
      <c r="H3" s="64" t="s">
        <v>53</v>
      </c>
    </row>
    <row r="4" spans="7:11">
      <c r="G4" s="5" t="s">
        <v>219</v>
      </c>
      <c r="H4" s="59">
        <v>500000</v>
      </c>
    </row>
    <row r="5" spans="7:11">
      <c r="G5" s="5" t="s">
        <v>220</v>
      </c>
      <c r="H5" s="59">
        <v>6000</v>
      </c>
    </row>
    <row r="6" spans="7:11">
      <c r="G6" s="5" t="s">
        <v>221</v>
      </c>
      <c r="H6" s="59">
        <v>880000</v>
      </c>
    </row>
    <row r="7" spans="7:11">
      <c r="G7" s="5" t="s">
        <v>222</v>
      </c>
      <c r="H7" s="59">
        <v>5000</v>
      </c>
    </row>
    <row r="8" spans="7:11">
      <c r="G8" s="5" t="s">
        <v>223</v>
      </c>
      <c r="H8" s="59">
        <v>6800</v>
      </c>
    </row>
    <row r="9" spans="7:11">
      <c r="G9" s="5" t="s">
        <v>224</v>
      </c>
      <c r="H9" s="59">
        <v>5000</v>
      </c>
    </row>
    <row r="10" spans="7:11">
      <c r="G10" s="5" t="s">
        <v>225</v>
      </c>
      <c r="H10" s="59">
        <v>600000</v>
      </c>
    </row>
    <row r="11" spans="7:11">
      <c r="G11" s="5" t="s">
        <v>226</v>
      </c>
      <c r="H11" s="59">
        <v>880000</v>
      </c>
    </row>
    <row r="12" spans="7:11">
      <c r="G12" s="5" t="s">
        <v>227</v>
      </c>
      <c r="H12" s="59">
        <v>4500</v>
      </c>
    </row>
    <row r="13" spans="7:11">
      <c r="G13" s="5" t="s">
        <v>228</v>
      </c>
      <c r="H13" s="59">
        <v>20000</v>
      </c>
    </row>
    <row r="14" spans="7:11">
      <c r="G14" s="5" t="s">
        <v>229</v>
      </c>
      <c r="H14" s="59">
        <v>4000</v>
      </c>
    </row>
    <row r="15" spans="7:11">
      <c r="G15" s="5" t="s">
        <v>230</v>
      </c>
      <c r="H15" s="59">
        <v>4500</v>
      </c>
    </row>
    <row r="16" spans="7:11">
      <c r="G16" s="5" t="s">
        <v>231</v>
      </c>
      <c r="H16" s="59">
        <v>6000</v>
      </c>
    </row>
    <row r="17" spans="7:8">
      <c r="G17" s="5" t="s">
        <v>232</v>
      </c>
      <c r="H17" s="59">
        <v>7000</v>
      </c>
    </row>
    <row r="18" spans="7:8">
      <c r="G18" s="5" t="s">
        <v>233</v>
      </c>
      <c r="H18" s="59">
        <v>8000</v>
      </c>
    </row>
    <row r="19" spans="7:8">
      <c r="G19" s="5" t="s">
        <v>234</v>
      </c>
      <c r="H19" s="59">
        <v>990000</v>
      </c>
    </row>
    <row r="20" spans="7:8">
      <c r="G20" s="5" t="s">
        <v>235</v>
      </c>
      <c r="H20" s="59">
        <v>770000</v>
      </c>
    </row>
    <row r="21" spans="7:8">
      <c r="G21" s="5" t="s">
        <v>236</v>
      </c>
      <c r="H21" s="59">
        <v>880000</v>
      </c>
    </row>
  </sheetData>
  <mergeCells count="1">
    <mergeCell ref="G2:H2"/>
  </mergeCells>
  <conditionalFormatting sqref="H4:H21">
    <cfRule type="cellIs" dxfId="1" priority="2" operator="lessThan">
      <formula>20000</formula>
    </cfRule>
    <cfRule type="cellIs" dxfId="0" priority="1" operator="greaterThan">
      <formula>5000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TASK1</vt:lpstr>
      <vt:lpstr>TASK 2</vt:lpstr>
      <vt:lpstr>TASK3</vt:lpstr>
      <vt:lpstr>TASK4</vt:lpstr>
      <vt:lpstr>TASK5</vt:lpstr>
      <vt:lpstr>TASK6</vt:lpstr>
      <vt:lpstr>TASK7</vt:lpstr>
      <vt:lpstr>TASK8</vt:lpstr>
      <vt:lpstr>TASK9</vt:lpstr>
      <vt:lpstr>TASK10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2026-03-09T21:51:59Z</dcterms:created>
  <dcterms:modified xsi:type="dcterms:W3CDTF">2026-03-10T09:02:24Z</dcterms:modified>
</cp:coreProperties>
</file>