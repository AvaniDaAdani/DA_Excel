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calcChain.xml><?xml version="1.0" encoding="utf-8"?>
<calcChain xmlns="http://schemas.openxmlformats.org/spreadsheetml/2006/main">
  <c r="F10" i="3"/>
  <c r="G20" i="2"/>
  <c r="G9"/>
  <c r="H9" s="1"/>
  <c r="F9"/>
  <c r="H17"/>
  <c r="H16"/>
  <c r="N25" i="1"/>
  <c r="N20"/>
  <c r="N15"/>
  <c r="N10"/>
  <c r="N5"/>
  <c r="I9" i="2" l="1"/>
</calcChain>
</file>

<file path=xl/sharedStrings.xml><?xml version="1.0" encoding="utf-8"?>
<sst xmlns="http://schemas.openxmlformats.org/spreadsheetml/2006/main" count="83" uniqueCount="50">
  <si>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</si>
  <si>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</si>
  <si>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</si>
  <si>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</si>
  <si>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</si>
  <si>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</si>
  <si>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</si>
  <si>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</si>
  <si>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</si>
  <si>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</si>
  <si>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</si>
  <si>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</si>
  <si>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</si>
  <si>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</si>
  <si>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</si>
  <si>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</si>
  <si>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</si>
  <si>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</si>
  <si>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</si>
  <si>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</si>
  <si>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</si>
  <si>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</si>
  <si>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</si>
  <si>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</si>
  <si>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</si>
  <si>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</si>
  <si>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</si>
  <si>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</si>
  <si>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</si>
  <si>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</si>
  <si>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</si>
  <si>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</si>
  <si>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</si>
  <si>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</si>
  <si>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Find Name</t>
  </si>
  <si>
    <t>Employe Id</t>
  </si>
  <si>
    <t>Find Department</t>
  </si>
  <si>
    <t>Find Salary</t>
  </si>
  <si>
    <t>Find Location</t>
  </si>
  <si>
    <t>Find Year</t>
  </si>
  <si>
    <t>Year</t>
  </si>
  <si>
    <t>Find Bonus</t>
  </si>
  <si>
    <t>Bonus</t>
  </si>
  <si>
    <t>id</t>
  </si>
  <si>
    <t>salary</t>
  </si>
  <si>
    <t>department</t>
  </si>
  <si>
    <t>bonus %</t>
  </si>
  <si>
    <t>bonus amount</t>
  </si>
  <si>
    <t>Error Handling</t>
  </si>
  <si>
    <t>it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</si>
</sst>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9" fontId="4" fillId="2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O25"/>
  <sheetViews>
    <sheetView tabSelected="1" zoomScale="85" zoomScaleNormal="85" workbookViewId="0">
      <selection activeCell="D3" sqref="D3:I11"/>
    </sheetView>
  </sheetViews>
  <sheetFormatPr defaultRowHeight="15"/>
  <cols>
    <col min="4" max="4" width="18.42578125" customWidth="1"/>
    <col min="5" max="5" width="14" customWidth="1"/>
    <col min="6" max="6" width="15.42578125" customWidth="1"/>
    <col min="7" max="7" width="14.5703125" customWidth="1"/>
    <col min="8" max="8" width="12.140625" customWidth="1"/>
    <col min="9" max="9" width="16.42578125" customWidth="1"/>
    <col min="13" max="13" width="17.85546875" customWidth="1"/>
    <col min="14" max="14" width="12.140625" customWidth="1"/>
  </cols>
  <sheetData>
    <row r="2" spans="4:15" ht="15.75" thickBot="1"/>
    <row r="3" spans="4:15" ht="21.75" thickBot="1">
      <c r="D3" s="1" t="s">
        <v>0</v>
      </c>
      <c r="E3" s="2" t="s">
        <v>1</v>
      </c>
      <c r="F3" s="2" t="s">
        <v>2</v>
      </c>
      <c r="G3" s="2" t="s">
        <v>3</v>
      </c>
      <c r="H3" s="1" t="s">
        <v>4</v>
      </c>
      <c r="I3" s="1" t="s">
        <v>5</v>
      </c>
      <c r="M3" s="8" t="s">
        <v>34</v>
      </c>
      <c r="N3" s="8"/>
      <c r="O3" s="8"/>
    </row>
    <row r="4" spans="4:15" ht="18" thickBot="1">
      <c r="D4" s="3" t="s">
        <v>6</v>
      </c>
      <c r="E4" s="4" t="s">
        <v>7</v>
      </c>
      <c r="F4" s="4" t="s">
        <v>8</v>
      </c>
      <c r="G4" s="4" t="s">
        <v>9</v>
      </c>
      <c r="H4" s="3">
        <v>45000</v>
      </c>
      <c r="I4" s="3">
        <v>2019</v>
      </c>
      <c r="M4" t="s">
        <v>35</v>
      </c>
      <c r="N4" t="s">
        <v>1</v>
      </c>
    </row>
    <row r="5" spans="4:15" ht="18" thickBot="1">
      <c r="D5" s="5" t="s">
        <v>10</v>
      </c>
      <c r="E5" s="6" t="s">
        <v>11</v>
      </c>
      <c r="F5" s="6" t="s">
        <v>12</v>
      </c>
      <c r="G5" s="6" t="s">
        <v>13</v>
      </c>
      <c r="H5" s="5">
        <v>52000</v>
      </c>
      <c r="I5" s="5">
        <v>2018</v>
      </c>
      <c r="M5" t="s">
        <v>18</v>
      </c>
      <c r="N5" t="str">
        <f>VLOOKUP(M5,D3:I11,2)</f>
        <v>Neha Singh</v>
      </c>
    </row>
    <row r="6" spans="4:15" ht="18" thickBot="1">
      <c r="D6" s="3" t="s">
        <v>14</v>
      </c>
      <c r="E6" s="4" t="s">
        <v>15</v>
      </c>
      <c r="F6" s="4" t="s">
        <v>16</v>
      </c>
      <c r="G6" s="4" t="s">
        <v>17</v>
      </c>
      <c r="H6" s="3">
        <v>65000</v>
      </c>
      <c r="I6" s="3">
        <v>2020</v>
      </c>
    </row>
    <row r="7" spans="4:15" ht="18" thickBot="1">
      <c r="D7" s="5" t="s">
        <v>18</v>
      </c>
      <c r="E7" s="6" t="s">
        <v>19</v>
      </c>
      <c r="F7" s="6" t="s">
        <v>20</v>
      </c>
      <c r="G7" s="6" t="s">
        <v>21</v>
      </c>
      <c r="H7" s="5">
        <v>58000</v>
      </c>
      <c r="I7" s="5">
        <v>2017</v>
      </c>
    </row>
    <row r="8" spans="4:15" ht="18" thickBot="1">
      <c r="D8" s="3" t="s">
        <v>22</v>
      </c>
      <c r="E8" s="4" t="s">
        <v>23</v>
      </c>
      <c r="F8" s="4" t="s">
        <v>24</v>
      </c>
      <c r="G8" s="4" t="s">
        <v>9</v>
      </c>
      <c r="H8" s="3">
        <v>48000</v>
      </c>
      <c r="I8" s="3">
        <v>2021</v>
      </c>
    </row>
    <row r="9" spans="4:15" ht="21.75" thickBot="1">
      <c r="D9" s="5" t="s">
        <v>25</v>
      </c>
      <c r="E9" s="6" t="s">
        <v>26</v>
      </c>
      <c r="F9" s="6" t="s">
        <v>16</v>
      </c>
      <c r="G9" s="6" t="s">
        <v>27</v>
      </c>
      <c r="H9" s="5">
        <v>62000</v>
      </c>
      <c r="I9" s="5">
        <v>2019</v>
      </c>
      <c r="M9" s="8" t="s">
        <v>36</v>
      </c>
      <c r="N9" s="8"/>
    </row>
    <row r="10" spans="4:15" ht="18" thickBot="1">
      <c r="D10" s="3" t="s">
        <v>28</v>
      </c>
      <c r="E10" s="4" t="s">
        <v>29</v>
      </c>
      <c r="F10" s="4" t="s">
        <v>8</v>
      </c>
      <c r="G10" s="4" t="s">
        <v>30</v>
      </c>
      <c r="H10" s="3">
        <v>47000</v>
      </c>
      <c r="I10" s="3">
        <v>2020</v>
      </c>
      <c r="M10" t="s">
        <v>14</v>
      </c>
      <c r="N10" t="str">
        <f>VLOOKUP(M10,D3:I11,3)</f>
        <v>IT</v>
      </c>
    </row>
    <row r="11" spans="4:15" ht="18" thickBot="1">
      <c r="D11" s="5" t="s">
        <v>31</v>
      </c>
      <c r="E11" s="6" t="s">
        <v>32</v>
      </c>
      <c r="F11" s="6" t="s">
        <v>12</v>
      </c>
      <c r="G11" s="6" t="s">
        <v>17</v>
      </c>
      <c r="H11" s="5">
        <v>54000</v>
      </c>
      <c r="I11" s="5">
        <v>2016</v>
      </c>
    </row>
    <row r="13" spans="4:15" ht="21">
      <c r="M13" s="8" t="s">
        <v>37</v>
      </c>
      <c r="N13" s="8"/>
    </row>
    <row r="14" spans="4:15">
      <c r="M14" t="s">
        <v>1</v>
      </c>
      <c r="N14" t="s">
        <v>4</v>
      </c>
    </row>
    <row r="15" spans="4:15">
      <c r="M15" t="s">
        <v>19</v>
      </c>
      <c r="N15">
        <f>VLOOKUP(M15,E3:I11,4)</f>
        <v>58000</v>
      </c>
    </row>
    <row r="18" spans="13:14" ht="21">
      <c r="M18" s="8" t="s">
        <v>38</v>
      </c>
      <c r="N18" s="8"/>
    </row>
    <row r="19" spans="13:14">
      <c r="M19" t="s">
        <v>35</v>
      </c>
      <c r="N19" t="s">
        <v>3</v>
      </c>
    </row>
    <row r="20" spans="13:14">
      <c r="M20" t="s">
        <v>28</v>
      </c>
      <c r="N20" t="str">
        <f>VLOOKUP(M20,D3:I11,4)</f>
        <v>Hyderabad</v>
      </c>
    </row>
    <row r="23" spans="13:14" ht="21">
      <c r="M23" s="8" t="s">
        <v>39</v>
      </c>
      <c r="N23" s="8"/>
    </row>
    <row r="24" spans="13:14">
      <c r="M24" t="s">
        <v>35</v>
      </c>
      <c r="N24" t="s">
        <v>40</v>
      </c>
    </row>
    <row r="25" spans="13:14">
      <c r="M25" t="s">
        <v>6</v>
      </c>
      <c r="N25">
        <f>VLOOKUP(M25,D3:I11,6)</f>
        <v>2019</v>
      </c>
    </row>
  </sheetData>
  <mergeCells count="5">
    <mergeCell ref="M3:O3"/>
    <mergeCell ref="M9:N9"/>
    <mergeCell ref="M13:N13"/>
    <mergeCell ref="M18:N18"/>
    <mergeCell ref="M23:N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J20"/>
  <sheetViews>
    <sheetView workbookViewId="0">
      <selection activeCell="F21" sqref="F21"/>
    </sheetView>
  </sheetViews>
  <sheetFormatPr defaultRowHeight="15"/>
  <cols>
    <col min="2" max="2" width="14.7109375" bestFit="1" customWidth="1"/>
    <col min="4" max="4" width="14.7109375" bestFit="1" customWidth="1"/>
    <col min="5" max="5" width="15.140625" customWidth="1"/>
    <col min="6" max="6" width="12.7109375" customWidth="1"/>
    <col min="7" max="7" width="13.5703125" customWidth="1"/>
    <col min="10" max="10" width="8" customWidth="1"/>
    <col min="11" max="11" width="14.7109375" bestFit="1" customWidth="1"/>
    <col min="16" max="16" width="11.7109375" customWidth="1"/>
  </cols>
  <sheetData>
    <row r="3" spans="1:10" ht="15.75" thickBot="1">
      <c r="A3" s="11"/>
    </row>
    <row r="4" spans="1:10" ht="18" thickBot="1">
      <c r="A4" s="11"/>
      <c r="E4" s="2" t="s">
        <v>2</v>
      </c>
      <c r="F4" s="1" t="s">
        <v>8</v>
      </c>
      <c r="G4" s="1" t="s">
        <v>12</v>
      </c>
      <c r="H4" s="1" t="s">
        <v>16</v>
      </c>
      <c r="I4" s="1" t="s">
        <v>20</v>
      </c>
      <c r="J4" s="1" t="s">
        <v>24</v>
      </c>
    </row>
    <row r="5" spans="1:10" ht="18" thickBot="1">
      <c r="A5" s="11"/>
      <c r="E5" s="4" t="s">
        <v>33</v>
      </c>
      <c r="F5" s="7">
        <v>0.1</v>
      </c>
      <c r="G5" s="7">
        <v>0.08</v>
      </c>
      <c r="H5" s="7">
        <v>0.12</v>
      </c>
      <c r="I5" s="7">
        <v>0.15</v>
      </c>
      <c r="J5" s="7">
        <v>0.09</v>
      </c>
    </row>
    <row r="6" spans="1:10">
      <c r="A6" s="11"/>
      <c r="B6" s="11"/>
    </row>
    <row r="7" spans="1:10">
      <c r="A7" s="11"/>
    </row>
    <row r="8" spans="1:10">
      <c r="A8" s="11"/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 spans="1:10">
      <c r="A9" s="11"/>
      <c r="E9" t="s">
        <v>10</v>
      </c>
      <c r="F9">
        <f>VLOOKUP(E9,Sheet1!D3:I11,5,0)</f>
        <v>52000</v>
      </c>
      <c r="G9" t="str">
        <f>VLOOKUP(E9,Sheet1!D3:I11,3,0)</f>
        <v>HR</v>
      </c>
      <c r="H9" s="12">
        <f>HLOOKUP(G9,E4:J5,2,0)</f>
        <v>0.08</v>
      </c>
      <c r="I9">
        <f>F9*H9</f>
        <v>4160</v>
      </c>
    </row>
    <row r="10" spans="1:10">
      <c r="A10" s="11"/>
    </row>
    <row r="11" spans="1:10">
      <c r="A11" s="11"/>
    </row>
    <row r="14" spans="1:10">
      <c r="F14" s="9" t="s">
        <v>41</v>
      </c>
      <c r="G14" s="9"/>
      <c r="H14" s="9"/>
    </row>
    <row r="15" spans="1:10">
      <c r="F15" t="s">
        <v>2</v>
      </c>
      <c r="H15" t="s">
        <v>42</v>
      </c>
    </row>
    <row r="16" spans="1:10">
      <c r="F16" t="s">
        <v>16</v>
      </c>
      <c r="H16">
        <f>HLOOKUP(F16,E4:J5,2)</f>
        <v>0.15</v>
      </c>
    </row>
    <row r="17" spans="6:8">
      <c r="F17" t="s">
        <v>20</v>
      </c>
      <c r="H17">
        <f>HLOOKUP(F17,E4:J5,2,0)</f>
        <v>0.15</v>
      </c>
    </row>
    <row r="19" spans="6:8">
      <c r="F19" s="9" t="s">
        <v>48</v>
      </c>
      <c r="G19" s="9"/>
    </row>
    <row r="20" spans="6:8">
      <c r="F20" s="10" t="s">
        <v>49</v>
      </c>
      <c r="G20" t="str">
        <f>IFERROR(HLOOKUP(F20,E4:J5,1,0),"No Bonus Data")</f>
        <v>IT</v>
      </c>
    </row>
  </sheetData>
  <mergeCells count="2">
    <mergeCell ref="F14:H14"/>
    <mergeCell ref="F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3:F10"/>
  <sheetViews>
    <sheetView workbookViewId="0">
      <selection activeCell="E9" sqref="E9"/>
    </sheetView>
  </sheetViews>
  <sheetFormatPr defaultRowHeight="15"/>
  <cols>
    <col min="5" max="5" width="13.42578125" customWidth="1"/>
    <col min="6" max="6" width="14.140625" customWidth="1"/>
  </cols>
  <sheetData>
    <row r="3" spans="5:6" ht="15.75" thickBot="1"/>
    <row r="4" spans="5:6" ht="18" thickBot="1">
      <c r="E4" s="2" t="s">
        <v>0</v>
      </c>
      <c r="F4" s="2" t="s">
        <v>1</v>
      </c>
    </row>
    <row r="5" spans="5:6" ht="18" thickBot="1">
      <c r="E5" s="4" t="s">
        <v>18</v>
      </c>
      <c r="F5" s="4" t="s">
        <v>15</v>
      </c>
    </row>
    <row r="9" spans="5:6">
      <c r="E9" t="s">
        <v>35</v>
      </c>
      <c r="F9" t="s">
        <v>4</v>
      </c>
    </row>
    <row r="10" spans="5:6">
      <c r="E10" t="s">
        <v>10</v>
      </c>
      <c r="F10" t="e">
        <f>x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" sqref="C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2026-03-10T03:28:15Z</dcterms:created>
  <dcterms:modified xsi:type="dcterms:W3CDTF">2026-03-10T05:03:02Z</dcterms:modified>
</cp:coreProperties>
</file>