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8" i="1"/>
  <c r="G89"/>
  <c r="G90"/>
  <c r="G91"/>
  <c r="G92"/>
  <c r="G87"/>
  <c r="F78"/>
  <c r="F79"/>
  <c r="F80"/>
  <c r="F81"/>
  <c r="F77"/>
  <c r="F69"/>
  <c r="F70"/>
  <c r="F71"/>
  <c r="F72"/>
  <c r="F68"/>
  <c r="G59"/>
  <c r="G60"/>
  <c r="G61"/>
  <c r="G62"/>
  <c r="G58"/>
  <c r="G50"/>
  <c r="G51"/>
  <c r="G52"/>
  <c r="G53"/>
  <c r="G49"/>
  <c r="G40" l="1"/>
  <c r="G41"/>
  <c r="G42"/>
  <c r="G43"/>
  <c r="G44"/>
  <c r="G39"/>
  <c r="G30"/>
  <c r="G31"/>
  <c r="G32"/>
  <c r="G33"/>
  <c r="G29"/>
  <c r="F20"/>
  <c r="F21"/>
  <c r="F22"/>
  <c r="F23"/>
  <c r="F24"/>
  <c r="F25"/>
  <c r="F13"/>
  <c r="F14"/>
  <c r="F15"/>
  <c r="F16"/>
  <c r="F12"/>
  <c r="G5"/>
  <c r="G6"/>
  <c r="G7"/>
  <c r="G8"/>
  <c r="G4"/>
</calcChain>
</file>

<file path=xl/sharedStrings.xml><?xml version="1.0" encoding="utf-8"?>
<sst xmlns="http://schemas.openxmlformats.org/spreadsheetml/2006/main" count="105" uniqueCount="67">
  <si>
    <t>TASK 1</t>
  </si>
  <si>
    <t xml:space="preserve">Roll No </t>
  </si>
  <si>
    <t>Student Name</t>
  </si>
  <si>
    <t>Marks</t>
  </si>
  <si>
    <t>Result</t>
  </si>
  <si>
    <t>Krina</t>
  </si>
  <si>
    <t>Harsh</t>
  </si>
  <si>
    <t>Prisha</t>
  </si>
  <si>
    <t>Jiya</t>
  </si>
  <si>
    <t>Neha</t>
  </si>
  <si>
    <t>TASK 2</t>
  </si>
  <si>
    <t>Employe Name</t>
  </si>
  <si>
    <t>Salary</t>
  </si>
  <si>
    <t>Bonos Satus</t>
  </si>
  <si>
    <t>Vijay</t>
  </si>
  <si>
    <t>Krish</t>
  </si>
  <si>
    <t>karan</t>
  </si>
  <si>
    <t>Mishva</t>
  </si>
  <si>
    <t>TASK 3</t>
  </si>
  <si>
    <t>Grade</t>
  </si>
  <si>
    <t>Deep</t>
  </si>
  <si>
    <t>Kiyan</t>
  </si>
  <si>
    <t>Raj</t>
  </si>
  <si>
    <t>Vimal</t>
  </si>
  <si>
    <t>Harish</t>
  </si>
  <si>
    <t>Hina</t>
  </si>
  <si>
    <t>TASK 4</t>
  </si>
  <si>
    <t>Name</t>
  </si>
  <si>
    <t>Age</t>
  </si>
  <si>
    <t>Experience</t>
  </si>
  <si>
    <t>Eligible</t>
  </si>
  <si>
    <t>Kripa</t>
  </si>
  <si>
    <t>Monisha</t>
  </si>
  <si>
    <t>Siya</t>
  </si>
  <si>
    <t>Yansi</t>
  </si>
  <si>
    <t>Yagnik</t>
  </si>
  <si>
    <t>TASK 5</t>
  </si>
  <si>
    <t>Attendence</t>
  </si>
  <si>
    <t>Assignment Submitted</t>
  </si>
  <si>
    <t>Aman</t>
  </si>
  <si>
    <t>Krishna</t>
  </si>
  <si>
    <t>Bharat</t>
  </si>
  <si>
    <t>Mukund</t>
  </si>
  <si>
    <t>Chandni</t>
  </si>
  <si>
    <t>Divya</t>
  </si>
  <si>
    <t>Yes</t>
  </si>
  <si>
    <t>No</t>
  </si>
  <si>
    <t>TASK 6</t>
  </si>
  <si>
    <t>Customer Name</t>
  </si>
  <si>
    <t>Membership</t>
  </si>
  <si>
    <t>Discount</t>
  </si>
  <si>
    <t>Purchase Amount</t>
  </si>
  <si>
    <t>kanan</t>
  </si>
  <si>
    <t>TASK 7</t>
  </si>
  <si>
    <t>Applicant</t>
  </si>
  <si>
    <t>CIBIL Score</t>
  </si>
  <si>
    <t>Loan Satatus</t>
  </si>
  <si>
    <t>TASK 8</t>
  </si>
  <si>
    <t>Present</t>
  </si>
  <si>
    <t xml:space="preserve"> Satus</t>
  </si>
  <si>
    <t>TASK 9</t>
  </si>
  <si>
    <t>Number 1</t>
  </si>
  <si>
    <t>Number 2</t>
  </si>
  <si>
    <t>TASK10</t>
  </si>
  <si>
    <t>Targets Archived</t>
  </si>
  <si>
    <t>Attendence%</t>
  </si>
  <si>
    <t>Performance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</si>
</sst>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4" borderId="0" xfId="0" applyFont="1" applyFill="1"/>
    <xf numFmtId="0" fontId="3" fillId="4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zoomScale="85" zoomScaleNormal="85" workbookViewId="0">
      <selection activeCell="G88" sqref="G88"/>
    </sheetView>
  </sheetViews>
  <sheetFormatPr defaultRowHeight="15"/>
  <cols>
    <col min="1" max="1" width="10.42578125" customWidth="1"/>
    <col min="3" max="3" width="8.7109375" customWidth="1"/>
    <col min="4" max="4" width="15.42578125" customWidth="1"/>
    <col min="5" max="5" width="16.5703125" customWidth="1"/>
    <col min="6" max="6" width="12.28515625" customWidth="1"/>
    <col min="7" max="7" width="17.28515625" customWidth="1"/>
  </cols>
  <sheetData>
    <row r="1" spans="1:7" ht="18.75">
      <c r="A1" s="2" t="s">
        <v>0</v>
      </c>
    </row>
    <row r="3" spans="1:7">
      <c r="D3" s="9" t="s">
        <v>1</v>
      </c>
      <c r="E3" s="9" t="s">
        <v>2</v>
      </c>
      <c r="F3" s="9" t="s">
        <v>3</v>
      </c>
      <c r="G3" s="9" t="s">
        <v>4</v>
      </c>
    </row>
    <row r="4" spans="1:7">
      <c r="D4" s="7">
        <v>1</v>
      </c>
      <c r="E4" s="6" t="s">
        <v>5</v>
      </c>
      <c r="F4" s="7">
        <v>38</v>
      </c>
      <c r="G4" s="8" t="str">
        <f>IF(F4&gt;=40,"pass","fail")</f>
        <v>fail</v>
      </c>
    </row>
    <row r="5" spans="1:7">
      <c r="D5" s="7">
        <v>2</v>
      </c>
      <c r="E5" s="6" t="s">
        <v>6</v>
      </c>
      <c r="F5" s="7">
        <v>66</v>
      </c>
      <c r="G5" s="8" t="str">
        <f t="shared" ref="G5:G8" si="0">IF(F5&gt;=40,"pass","fail")</f>
        <v>pass</v>
      </c>
    </row>
    <row r="6" spans="1:7">
      <c r="D6" s="7">
        <v>3</v>
      </c>
      <c r="E6" s="6" t="s">
        <v>7</v>
      </c>
      <c r="F6" s="7">
        <v>99</v>
      </c>
      <c r="G6" s="8" t="str">
        <f t="shared" si="0"/>
        <v>pass</v>
      </c>
    </row>
    <row r="7" spans="1:7">
      <c r="D7" s="7">
        <v>4</v>
      </c>
      <c r="E7" s="6" t="s">
        <v>8</v>
      </c>
      <c r="F7" s="7">
        <v>78</v>
      </c>
      <c r="G7" s="8" t="str">
        <f t="shared" si="0"/>
        <v>pass</v>
      </c>
    </row>
    <row r="8" spans="1:7">
      <c r="D8" s="7">
        <v>5</v>
      </c>
      <c r="E8" s="6" t="s">
        <v>9</v>
      </c>
      <c r="F8" s="7">
        <v>34</v>
      </c>
      <c r="G8" s="8" t="str">
        <f t="shared" si="0"/>
        <v>fail</v>
      </c>
    </row>
    <row r="10" spans="1:7" ht="21">
      <c r="A10" s="3" t="s">
        <v>10</v>
      </c>
    </row>
    <row r="11" spans="1:7">
      <c r="D11" s="9" t="s">
        <v>11</v>
      </c>
      <c r="E11" s="9" t="s">
        <v>12</v>
      </c>
      <c r="F11" s="9" t="s">
        <v>13</v>
      </c>
    </row>
    <row r="12" spans="1:7">
      <c r="D12" s="7" t="s">
        <v>14</v>
      </c>
      <c r="E12" s="6">
        <v>40000</v>
      </c>
      <c r="F12" s="8" t="str">
        <f>IF(E12&gt;=40000,"Bonus","No Bonus")</f>
        <v>Bonus</v>
      </c>
    </row>
    <row r="13" spans="1:7">
      <c r="D13" s="7" t="s">
        <v>15</v>
      </c>
      <c r="E13" s="6">
        <v>30000</v>
      </c>
      <c r="F13" s="8" t="str">
        <f t="shared" ref="F13:F16" si="1">IF(E13&gt;=40000,"Bonus","No Bonus")</f>
        <v>No Bonus</v>
      </c>
    </row>
    <row r="14" spans="1:7">
      <c r="D14" s="7" t="s">
        <v>16</v>
      </c>
      <c r="E14" s="6">
        <v>50000</v>
      </c>
      <c r="F14" s="8" t="str">
        <f t="shared" si="1"/>
        <v>Bonus</v>
      </c>
    </row>
    <row r="15" spans="1:7">
      <c r="D15" s="7" t="s">
        <v>8</v>
      </c>
      <c r="E15" s="6">
        <v>99000</v>
      </c>
      <c r="F15" s="8" t="str">
        <f t="shared" si="1"/>
        <v>Bonus</v>
      </c>
    </row>
    <row r="16" spans="1:7">
      <c r="D16" s="7" t="s">
        <v>17</v>
      </c>
      <c r="E16" s="6">
        <v>77000</v>
      </c>
      <c r="F16" s="8" t="str">
        <f t="shared" si="1"/>
        <v>Bonus</v>
      </c>
    </row>
    <row r="19" spans="1:7" ht="21">
      <c r="A19" s="3" t="s">
        <v>18</v>
      </c>
      <c r="D19" s="9" t="s">
        <v>2</v>
      </c>
      <c r="E19" s="9" t="s">
        <v>3</v>
      </c>
      <c r="F19" s="9" t="s">
        <v>19</v>
      </c>
    </row>
    <row r="20" spans="1:7">
      <c r="D20" s="7" t="s">
        <v>20</v>
      </c>
      <c r="E20" s="6">
        <v>82</v>
      </c>
      <c r="F20" s="8" t="str">
        <f>IF(E20&gt;=75,"A",IF(E20&gt;=60,"B",IF(E20&gt;=40,"C",IF(E20&lt;40,"Fail"))))</f>
        <v>A</v>
      </c>
    </row>
    <row r="21" spans="1:7">
      <c r="D21" s="7" t="s">
        <v>21</v>
      </c>
      <c r="E21" s="6">
        <v>23</v>
      </c>
      <c r="F21" s="8" t="str">
        <f t="shared" ref="F21:F25" si="2">IF(E21&gt;=75,"A",IF(E21&gt;=60,"B",IF(E21&gt;=40,"C",IF(E21&lt;40,"Fail"))))</f>
        <v>Fail</v>
      </c>
    </row>
    <row r="22" spans="1:7">
      <c r="D22" s="7" t="s">
        <v>22</v>
      </c>
      <c r="E22" s="6">
        <v>34</v>
      </c>
      <c r="F22" s="8" t="str">
        <f t="shared" si="2"/>
        <v>Fail</v>
      </c>
    </row>
    <row r="23" spans="1:7">
      <c r="D23" s="7" t="s">
        <v>23</v>
      </c>
      <c r="E23" s="6">
        <v>88</v>
      </c>
      <c r="F23" s="8" t="str">
        <f t="shared" si="2"/>
        <v>A</v>
      </c>
    </row>
    <row r="24" spans="1:7">
      <c r="D24" s="7" t="s">
        <v>24</v>
      </c>
      <c r="E24" s="6">
        <v>67</v>
      </c>
      <c r="F24" s="8" t="str">
        <f t="shared" si="2"/>
        <v>B</v>
      </c>
    </row>
    <row r="25" spans="1:7">
      <c r="D25" s="7" t="s">
        <v>25</v>
      </c>
      <c r="E25" s="6">
        <v>45</v>
      </c>
      <c r="F25" s="8" t="str">
        <f t="shared" si="2"/>
        <v>C</v>
      </c>
    </row>
    <row r="27" spans="1:7" ht="21">
      <c r="A27" s="3" t="s">
        <v>26</v>
      </c>
    </row>
    <row r="28" spans="1:7">
      <c r="D28" s="4" t="s">
        <v>27</v>
      </c>
      <c r="E28" s="4" t="s">
        <v>28</v>
      </c>
      <c r="F28" s="4" t="s">
        <v>29</v>
      </c>
      <c r="G28" s="4" t="s">
        <v>30</v>
      </c>
    </row>
    <row r="29" spans="1:7">
      <c r="D29" s="7" t="s">
        <v>31</v>
      </c>
      <c r="E29" s="6">
        <v>25</v>
      </c>
      <c r="F29" s="7">
        <v>2</v>
      </c>
      <c r="G29" s="8" t="str">
        <f>IF(AND(E29&gt;=21,F29&gt;=1),"Eligible","Not eligible")</f>
        <v>Eligible</v>
      </c>
    </row>
    <row r="30" spans="1:7">
      <c r="D30" s="7" t="s">
        <v>32</v>
      </c>
      <c r="E30" s="6">
        <v>30</v>
      </c>
      <c r="F30" s="7">
        <v>1</v>
      </c>
      <c r="G30" s="8" t="str">
        <f t="shared" ref="G30:G33" si="3">IF(AND(E30&gt;=21,F30&gt;=1),"Eligible","Not eligible")</f>
        <v>Eligible</v>
      </c>
    </row>
    <row r="31" spans="1:7">
      <c r="D31" s="7" t="s">
        <v>33</v>
      </c>
      <c r="E31" s="6">
        <v>30</v>
      </c>
      <c r="F31" s="7">
        <v>4</v>
      </c>
      <c r="G31" s="8" t="str">
        <f t="shared" si="3"/>
        <v>Eligible</v>
      </c>
    </row>
    <row r="32" spans="1:7">
      <c r="D32" s="7" t="s">
        <v>34</v>
      </c>
      <c r="E32" s="6">
        <v>22</v>
      </c>
      <c r="F32" s="7">
        <v>5</v>
      </c>
      <c r="G32" s="8" t="str">
        <f t="shared" si="3"/>
        <v>Eligible</v>
      </c>
    </row>
    <row r="33" spans="1:8">
      <c r="D33" s="7" t="s">
        <v>35</v>
      </c>
      <c r="E33" s="6">
        <v>34</v>
      </c>
      <c r="F33" s="7">
        <v>0</v>
      </c>
      <c r="G33" s="8" t="str">
        <f t="shared" si="3"/>
        <v>Not eligible</v>
      </c>
    </row>
    <row r="37" spans="1:8" ht="21">
      <c r="A37" s="3" t="s">
        <v>36</v>
      </c>
    </row>
    <row r="38" spans="1:8" ht="30">
      <c r="D38" s="5" t="s">
        <v>2</v>
      </c>
      <c r="E38" s="5" t="s">
        <v>37</v>
      </c>
      <c r="F38" s="5" t="s">
        <v>38</v>
      </c>
      <c r="G38" s="5" t="s">
        <v>30</v>
      </c>
      <c r="H38" s="1"/>
    </row>
    <row r="39" spans="1:8">
      <c r="D39" s="7" t="s">
        <v>39</v>
      </c>
      <c r="E39" s="6">
        <v>82</v>
      </c>
      <c r="F39" s="7" t="s">
        <v>45</v>
      </c>
      <c r="G39" s="8" t="str">
        <f>IF(AND(E39&gt;=75,F39="yes"),"Eligible","Not Eligible")</f>
        <v>Eligible</v>
      </c>
    </row>
    <row r="40" spans="1:8">
      <c r="D40" s="7" t="s">
        <v>40</v>
      </c>
      <c r="E40" s="6">
        <v>60</v>
      </c>
      <c r="F40" s="7" t="s">
        <v>45</v>
      </c>
      <c r="G40" s="8" t="str">
        <f t="shared" ref="G40:G44" si="4">IF(AND(E40&gt;=75,F40="yes"),"Eligible","Not Eligible")</f>
        <v>Not Eligible</v>
      </c>
    </row>
    <row r="41" spans="1:8">
      <c r="D41" s="7" t="s">
        <v>41</v>
      </c>
      <c r="E41" s="6">
        <v>80</v>
      </c>
      <c r="F41" s="7" t="s">
        <v>46</v>
      </c>
      <c r="G41" s="8" t="str">
        <f t="shared" si="4"/>
        <v>Not Eligible</v>
      </c>
    </row>
    <row r="42" spans="1:8">
      <c r="D42" s="7" t="s">
        <v>42</v>
      </c>
      <c r="E42" s="6">
        <v>90</v>
      </c>
      <c r="F42" s="7" t="s">
        <v>45</v>
      </c>
      <c r="G42" s="8" t="str">
        <f t="shared" si="4"/>
        <v>Eligible</v>
      </c>
    </row>
    <row r="43" spans="1:8">
      <c r="D43" s="7" t="s">
        <v>43</v>
      </c>
      <c r="E43" s="6">
        <v>65</v>
      </c>
      <c r="F43" s="7" t="s">
        <v>46</v>
      </c>
      <c r="G43" s="8" t="str">
        <f t="shared" si="4"/>
        <v>Not Eligible</v>
      </c>
    </row>
    <row r="44" spans="1:8">
      <c r="D44" s="7" t="s">
        <v>44</v>
      </c>
      <c r="E44" s="6">
        <v>55</v>
      </c>
      <c r="F44" s="7" t="s">
        <v>46</v>
      </c>
      <c r="G44" s="8" t="str">
        <f t="shared" si="4"/>
        <v>Not Eligible</v>
      </c>
    </row>
    <row r="48" spans="1:8" ht="21">
      <c r="A48" s="3" t="s">
        <v>47</v>
      </c>
      <c r="D48" s="9" t="s">
        <v>48</v>
      </c>
      <c r="E48" s="9" t="s">
        <v>51</v>
      </c>
      <c r="F48" s="9" t="s">
        <v>49</v>
      </c>
      <c r="G48" s="9" t="s">
        <v>50</v>
      </c>
    </row>
    <row r="49" spans="1:7">
      <c r="D49" s="7" t="s">
        <v>52</v>
      </c>
      <c r="E49" s="6">
        <v>9000</v>
      </c>
      <c r="F49" s="7" t="s">
        <v>46</v>
      </c>
      <c r="G49" s="8" t="str">
        <f>IF(AND(E49&gt;10000,F49="yes"),"Discount","No Discount")</f>
        <v>No Discount</v>
      </c>
    </row>
    <row r="50" spans="1:7">
      <c r="D50" s="7" t="s">
        <v>40</v>
      </c>
      <c r="E50" s="6">
        <v>12000</v>
      </c>
      <c r="F50" s="7" t="s">
        <v>45</v>
      </c>
      <c r="G50" s="8" t="str">
        <f t="shared" ref="G50:G53" si="5">IF(AND(E50&gt;10000,F50="yes"),"Discount","No Discount")</f>
        <v>Discount</v>
      </c>
    </row>
    <row r="51" spans="1:7">
      <c r="D51" s="7" t="s">
        <v>41</v>
      </c>
      <c r="E51" s="6">
        <v>3000</v>
      </c>
      <c r="F51" s="7" t="s">
        <v>45</v>
      </c>
      <c r="G51" s="8" t="str">
        <f t="shared" si="5"/>
        <v>No Discount</v>
      </c>
    </row>
    <row r="52" spans="1:7">
      <c r="D52" s="7" t="s">
        <v>42</v>
      </c>
      <c r="E52" s="6">
        <v>5900</v>
      </c>
      <c r="F52" s="7" t="s">
        <v>46</v>
      </c>
      <c r="G52" s="8" t="str">
        <f t="shared" si="5"/>
        <v>No Discount</v>
      </c>
    </row>
    <row r="53" spans="1:7">
      <c r="D53" s="7" t="s">
        <v>43</v>
      </c>
      <c r="E53" s="6">
        <v>8000</v>
      </c>
      <c r="F53" s="7" t="s">
        <v>45</v>
      </c>
      <c r="G53" s="8" t="str">
        <f t="shared" si="5"/>
        <v>No Discount</v>
      </c>
    </row>
    <row r="56" spans="1:7" ht="21">
      <c r="A56" s="3" t="s">
        <v>53</v>
      </c>
    </row>
    <row r="57" spans="1:7">
      <c r="D57" s="9" t="s">
        <v>54</v>
      </c>
      <c r="E57" s="10" t="s">
        <v>12</v>
      </c>
      <c r="F57" s="9" t="s">
        <v>55</v>
      </c>
      <c r="G57" s="9" t="s">
        <v>56</v>
      </c>
    </row>
    <row r="58" spans="1:7">
      <c r="D58" s="7" t="s">
        <v>52</v>
      </c>
      <c r="E58" s="11">
        <v>9000</v>
      </c>
      <c r="F58" s="7">
        <v>620</v>
      </c>
      <c r="G58" s="8" t="str">
        <f>IF(OR(E58&gt;=40000,F58&gt;=700),"Yes","No")</f>
        <v>No</v>
      </c>
    </row>
    <row r="59" spans="1:7">
      <c r="D59" s="7" t="s">
        <v>40</v>
      </c>
      <c r="E59" s="6">
        <v>12000</v>
      </c>
      <c r="F59" s="7">
        <v>700</v>
      </c>
      <c r="G59" s="8" t="str">
        <f t="shared" ref="G59:G62" si="6">IF(OR(E59&gt;=40000,F59&gt;=700),"Yes","No")</f>
        <v>Yes</v>
      </c>
    </row>
    <row r="60" spans="1:7">
      <c r="D60" s="7" t="s">
        <v>41</v>
      </c>
      <c r="E60" s="6">
        <v>80000</v>
      </c>
      <c r="F60" s="7">
        <v>550</v>
      </c>
      <c r="G60" s="8" t="str">
        <f t="shared" si="6"/>
        <v>Yes</v>
      </c>
    </row>
    <row r="61" spans="1:7">
      <c r="D61" s="7" t="s">
        <v>42</v>
      </c>
      <c r="E61" s="6">
        <v>60000</v>
      </c>
      <c r="F61" s="7">
        <v>800</v>
      </c>
      <c r="G61" s="8" t="str">
        <f t="shared" si="6"/>
        <v>Yes</v>
      </c>
    </row>
    <row r="62" spans="1:7">
      <c r="D62" s="7" t="s">
        <v>43</v>
      </c>
      <c r="E62" s="6">
        <v>40000</v>
      </c>
      <c r="F62" s="7">
        <v>400</v>
      </c>
      <c r="G62" s="8" t="str">
        <f t="shared" si="6"/>
        <v>Yes</v>
      </c>
    </row>
    <row r="65" spans="1:6" ht="21">
      <c r="A65" s="3" t="s">
        <v>57</v>
      </c>
    </row>
    <row r="67" spans="1:6">
      <c r="D67" s="9" t="s">
        <v>27</v>
      </c>
      <c r="E67" s="9" t="s">
        <v>58</v>
      </c>
      <c r="F67" s="9" t="s">
        <v>59</v>
      </c>
    </row>
    <row r="68" spans="1:6">
      <c r="D68" s="7" t="s">
        <v>14</v>
      </c>
      <c r="E68" s="6" t="b">
        <v>1</v>
      </c>
      <c r="F68" s="8" t="str">
        <f>IF(NOT(E68),"Absent","Presnt")</f>
        <v>Presnt</v>
      </c>
    </row>
    <row r="69" spans="1:6">
      <c r="D69" s="7" t="s">
        <v>15</v>
      </c>
      <c r="E69" s="6" t="b">
        <v>0</v>
      </c>
      <c r="F69" s="8" t="str">
        <f t="shared" ref="F69:F72" si="7">IF(NOT(E69),"Absent","Presnt")</f>
        <v>Absent</v>
      </c>
    </row>
    <row r="70" spans="1:6">
      <c r="D70" s="7" t="s">
        <v>16</v>
      </c>
      <c r="E70" s="6" t="b">
        <v>0</v>
      </c>
      <c r="F70" s="8" t="str">
        <f t="shared" si="7"/>
        <v>Absent</v>
      </c>
    </row>
    <row r="71" spans="1:6">
      <c r="D71" s="7" t="s">
        <v>8</v>
      </c>
      <c r="E71" s="6" t="b">
        <v>1</v>
      </c>
      <c r="F71" s="8" t="str">
        <f t="shared" si="7"/>
        <v>Presnt</v>
      </c>
    </row>
    <row r="72" spans="1:6">
      <c r="D72" s="7" t="s">
        <v>17</v>
      </c>
      <c r="E72" s="6" t="b">
        <v>1</v>
      </c>
      <c r="F72" s="8" t="str">
        <f t="shared" si="7"/>
        <v>Presnt</v>
      </c>
    </row>
    <row r="76" spans="1:6" ht="21">
      <c r="A76" s="3" t="s">
        <v>60</v>
      </c>
      <c r="D76" s="9" t="s">
        <v>61</v>
      </c>
      <c r="E76" s="9" t="s">
        <v>62</v>
      </c>
      <c r="F76" s="9" t="s">
        <v>4</v>
      </c>
    </row>
    <row r="77" spans="1:6">
      <c r="D77" s="7">
        <v>10</v>
      </c>
      <c r="E77" s="6">
        <v>2</v>
      </c>
      <c r="F77" s="8">
        <f>IFERROR(D77/E77,"Invalid")</f>
        <v>5</v>
      </c>
    </row>
    <row r="78" spans="1:6">
      <c r="D78" s="7">
        <v>15</v>
      </c>
      <c r="E78" s="6">
        <v>0</v>
      </c>
      <c r="F78" s="8" t="str">
        <f t="shared" ref="F78:F81" si="8">IFERROR(D78/E78,"Invalid")</f>
        <v>Invalid</v>
      </c>
    </row>
    <row r="79" spans="1:6">
      <c r="D79" s="7">
        <v>20</v>
      </c>
      <c r="E79" s="6">
        <v>5</v>
      </c>
      <c r="F79" s="8">
        <f t="shared" si="8"/>
        <v>4</v>
      </c>
    </row>
    <row r="80" spans="1:6">
      <c r="D80" s="7">
        <v>8</v>
      </c>
      <c r="E80" s="6">
        <v>0</v>
      </c>
      <c r="F80" s="8" t="str">
        <f t="shared" si="8"/>
        <v>Invalid</v>
      </c>
    </row>
    <row r="81" spans="1:7">
      <c r="D81" s="7">
        <v>22</v>
      </c>
      <c r="E81" s="6">
        <v>0</v>
      </c>
      <c r="F81" s="8" t="str">
        <f t="shared" si="8"/>
        <v>Invalid</v>
      </c>
    </row>
    <row r="84" spans="1:7" ht="21">
      <c r="A84" s="3" t="s">
        <v>63</v>
      </c>
    </row>
    <row r="86" spans="1:7" ht="30">
      <c r="D86" s="5" t="s">
        <v>11</v>
      </c>
      <c r="E86" s="5" t="s">
        <v>64</v>
      </c>
      <c r="F86" s="5" t="s">
        <v>65</v>
      </c>
      <c r="G86" s="5" t="s">
        <v>66</v>
      </c>
    </row>
    <row r="87" spans="1:7">
      <c r="D87" s="7" t="s">
        <v>39</v>
      </c>
      <c r="E87" s="6">
        <v>40</v>
      </c>
      <c r="F87" s="7">
        <v>82</v>
      </c>
      <c r="G87" s="8" t="str">
        <f>IF(AND(F87&gt;=90,E87&gt;=40),"Excellent",IF(F87&gt;=80,"Good","Need Impovement"))</f>
        <v>Good</v>
      </c>
    </row>
    <row r="88" spans="1:7">
      <c r="D88" s="7" t="s">
        <v>40</v>
      </c>
      <c r="E88" s="6">
        <v>55</v>
      </c>
      <c r="F88" s="7">
        <v>60</v>
      </c>
      <c r="G88" s="8" t="str">
        <f t="shared" ref="G88:G92" si="9">IF(AND(F88&gt;=90,E88&gt;=40),"Excellent",IF(F88&gt;=80,"Good","Need Impovement"))</f>
        <v>Need Impovement</v>
      </c>
    </row>
    <row r="89" spans="1:7">
      <c r="D89" s="7" t="s">
        <v>41</v>
      </c>
      <c r="E89" s="6">
        <v>67</v>
      </c>
      <c r="F89" s="7">
        <v>80</v>
      </c>
      <c r="G89" s="8" t="str">
        <f t="shared" si="9"/>
        <v>Good</v>
      </c>
    </row>
    <row r="90" spans="1:7">
      <c r="D90" s="7" t="s">
        <v>42</v>
      </c>
      <c r="E90" s="6">
        <v>88</v>
      </c>
      <c r="F90" s="7">
        <v>90</v>
      </c>
      <c r="G90" s="8" t="str">
        <f t="shared" si="9"/>
        <v>Excellent</v>
      </c>
    </row>
    <row r="91" spans="1:7">
      <c r="D91" s="7" t="s">
        <v>43</v>
      </c>
      <c r="E91" s="6">
        <v>90</v>
      </c>
      <c r="F91" s="7">
        <v>65</v>
      </c>
      <c r="G91" s="8" t="str">
        <f t="shared" si="9"/>
        <v>Need Impovement</v>
      </c>
    </row>
    <row r="92" spans="1:7">
      <c r="D92" s="7" t="s">
        <v>44</v>
      </c>
      <c r="E92" s="6">
        <v>40</v>
      </c>
      <c r="F92" s="7">
        <v>55</v>
      </c>
      <c r="G92" s="8" t="str">
        <f t="shared" si="9"/>
        <v>Need Impovement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2026-03-10T02:13:07Z</dcterms:created>
  <dcterms:modified xsi:type="dcterms:W3CDTF">2026-03-10T09:01:53Z</dcterms:modified>
</cp:coreProperties>
</file>